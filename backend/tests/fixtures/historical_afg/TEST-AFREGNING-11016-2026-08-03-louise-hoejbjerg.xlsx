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66533b7bb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fregningsbilag" sheetId="1" r:id="Rf68c4bb6e5d748df"/>
    <x:sheet xmlns:r="http://schemas.openxmlformats.org/officeDocument/2006/relationships" name="Faktura guld og sølv" sheetId="4" r:id="R391136d0f8fe4c28"/>
    <x:sheet xmlns:r="http://schemas.openxmlformats.org/officeDocument/2006/relationships" name="Faktura diverse" sheetId="5" r:id="R24eb021c06a94a99"/>
    <x:sheet xmlns:r="http://schemas.openxmlformats.org/officeDocument/2006/relationships" name="Variable værdier" sheetId="2" r:id="Rc4e9ce8d03db4892"/>
    <x:sheet xmlns:r="http://schemas.openxmlformats.org/officeDocument/2006/relationships" name="Brugsanvisning" sheetId="3" r:id="R49c59b0d45104f33"/>
  </x:sheets>
</x:workbook>
</file>

<file path=xl/sharedStrings.xml><?xml version="1.0" encoding="utf-8"?>
<x:sst xmlns:x="http://schemas.openxmlformats.org/spreadsheetml/2006/main">
  <x:si>
    <x:t xml:space="preserve">Afregningsbilag</x:t>
  </x:si>
  <x:si>
    <x:t xml:space="preserve">Afregningsnr.</x:t>
  </x:si>
  <x:si>
    <x:t xml:space="preserve">Dato:</x:t>
  </x:si>
  <x:si>
    <x:t xml:space="preserve">A</x:t>
  </x:si>
  <x:si>
    <x:t xml:space="preserve">v</x:t>
  </x:si>
  <x:si>
    <x:t xml:space="preserve">Sero Guld</x:t>
  </x:si>
  <x:si>
    <x:t xml:space="preserve">a</x:t>
  </x:si>
  <x:si>
    <x:t xml:space="preserve">Din professionelle forhandler</x:t>
  </x:si>
  <x:si>
    <x:t xml:space="preserve">n</x:t>
  </x:si>
  <x:si>
    <x:t xml:space="preserve">Navn:</x:t>
  </x:si>
  <x:si>
    <x:t xml:space="preserve">CPR nr.</x:t>
  </x:si>
  <x:si>
    <x:t xml:space="preserve">c</x:t>
  </x:si>
  <x:si>
    <x:t xml:space="preserve">Adresse:</x:t>
  </x:si>
  <x:si>
    <x:t xml:space="preserve">Kørekort/pas</x:t>
  </x:si>
  <x:si>
    <x:t xml:space="preserve">e</x:t>
  </x:si>
  <x:si>
    <x:t xml:space="preserve">Postnr.:</x:t>
  </x:si>
  <x:si>
    <x:t xml:space="preserve">Tlf.</x:t>
  </x:si>
  <x:si>
    <x:t xml:space="preserve">%</x:t>
  </x:si>
  <x:si>
    <x:t xml:space="preserve">E-mail</x:t>
  </x:si>
  <x:si>
    <x:t xml:space="preserve">↓</x:t>
  </x:si>
  <x:si>
    <x:t xml:space="preserve">Type</x:t>
  </x:si>
  <x:si>
    <x:t xml:space="preserve">Karat / % Finhed</x:t>
  </x:si>
  <x:si>
    <x:t xml:space="preserve">Lødighed</x:t>
  </x:si>
  <x:si>
    <x:t xml:space="preserve">Vægt i g</x:t>
  </x:si>
  <x:si>
    <x:t xml:space="preserve">Enhedspris / g</x:t>
  </x:si>
  <x:si>
    <x:t xml:space="preserve">I alt</x:t>
  </x:si>
  <x:si>
    <x:t xml:space="preserve">Kniv beregner</x:t>
  </x:si>
  <x:si>
    <x:t xml:space="preserve">Vægt</x:t>
  </x:si>
  <x:si>
    <x:t xml:space="preserve">antal</x:t>
  </x:si>
  <x:si>
    <x:t xml:space="preserve">Total</x:t>
  </x:si>
  <x:si>
    <x:t xml:space="preserve">Beregner</x:t>
  </x:si>
  <x:si>
    <x:t xml:space="preserve">Plet</x:t>
  </x:si>
  <x:si>
    <x:t xml:space="preserve">Overførsel</x:t>
  </x:si>
  <x:si>
    <x:t xml:space="preserve">Subtotal</x:t>
  </x:si>
  <x:si>
    <x:t xml:space="preserve">Reg.nr.</x:t>
  </x:si>
  <x:si>
    <x:t xml:space="preserve">Kontonr.:</x:t>
  </x:si>
  <x:si>
    <x:t xml:space="preserve">Moms</x:t>
  </x:si>
  <x:si>
    <x:t xml:space="preserve">Underskrift:</x:t>
  </x:si>
  <x:si>
    <x:t xml:space="preserve">Jeg bekræfter herved at:</x:t>
  </x:si>
  <x:si>
    <x:t xml:space="preserve">Smykkerne/sølvtøjet er solgt frit og ubehæftet til Sero Guld ApS og kan ikke returneres.</x:t>
  </x:si>
  <x:si>
    <x:t xml:space="preserve">Varerne i denne handel er afregnet i henhold til dagsprisen på guld og sølv på www.seroguld.dk</x:t>
  </x:si>
  <x:si>
    <x:r>
      <x:rPr>
        <x:b/>
        <x:sz val="10"/>
        <x:color theme="1"/>
        <x:rFont val="Calibri"/>
        <x:family val="2"/>
        <x:scheme val="minor"/>
      </x:rPr>
      <x:t xml:space="preserve">Sero Guld</x:t>
    </x:r>
    <x:r>
      <x:rPr>
        <x:sz val="10"/>
        <x:color theme="1"/>
        <x:rFont val="Calibri"/>
        <x:family val="2"/>
        <x:scheme val="minor"/>
      </x:rPr>
      <x:t xml:space="preserve"> -  Valby Langgade 84 - 2500 Valby - Danmark - CVR-nr: DK34093083</x:t>
    </x:r>
  </x:si>
  <x:si>
    <x:t xml:space="preserve">         Tlf.: 22255504 - E-mail: info@seroguld.dk - www.seroguld.dk</x:t>
  </x:si>
  <x:si>
    <x:t xml:space="preserve">Gram Au</x:t>
  </x:si>
  <x:si>
    <x:t xml:space="preserve">Kr. AU</x:t>
  </x:si>
  <x:si>
    <x:t xml:space="preserve">Finguld</x:t>
  </x:si>
  <x:si>
    <x:t xml:space="preserve">Gram Ag</x:t>
  </x:si>
  <x:si>
    <x:t xml:space="preserve">kr. AG</x:t>
  </x:si>
  <x:si>
    <x:t xml:space="preserve">Finsølv</x:t>
  </x:si>
  <x:si>
    <x:t xml:space="preserve">Karat</x:t>
  </x:si>
  <x:si>
    <x:t xml:space="preserve">Gram</x:t>
  </x:si>
  <x:si>
    <x:t xml:space="preserve">finguld</x:t>
  </x:si>
  <x:si>
    <x:t xml:space="preserve">karat</x:t>
  </x:si>
  <x:si>
    <x:t xml:space="preserve">Sterling</x:t>
  </x:si>
  <x:si>
    <x:t xml:space="preserve">Tre Tårnet</x:t>
  </x:si>
  <x:si>
    <x:t xml:space="preserve">I alt:</x:t>
  </x:si>
  <x:si>
    <x:t xml:space="preserve">SeRo Guldopkøb ApS</x:t>
  </x:si>
  <x:si>
    <x:t xml:space="preserve">ahmet demir</x:t>
  </x:si>
  <x:si>
    <x:t xml:space="preserve">Hvidovrevej 80 E 2, Lokale 3</x:t>
  </x:si>
  <x:si>
    <x:t xml:space="preserve">2610 Rødovre</x:t>
  </x:si>
  <x:si>
    <x:t xml:space="preserve">Mobil: 22 25 55 04</x:t>
  </x:si>
  <x:si>
    <x:t xml:space="preserve">CVR nr.</x:t>
  </x:si>
  <x:si>
    <x:t xml:space="preserve">Fakturanr.</x:t>
  </x:si>
  <x:si>
    <x:t xml:space="preserve">Dato</x:t>
  </x:si>
  <x:si>
    <x:t xml:space="preserve">Bankkontonr.</x:t>
  </x:si>
  <x:si>
    <x:t xml:space="preserve">Reg.nr. 5512   0725397984</x:t>
  </x:si>
  <x:si>
    <x:t xml:space="preserve">E-mail:</x:t>
  </x:si>
  <x:si>
    <x:t xml:space="preserve">seroguld@seroguld.dk</x:t>
  </x:si>
  <x:si>
    <x:t xml:space="preserve">Faktura</x:t>
  </x:si>
  <x:si>
    <x:t xml:space="preserve">Webside:</x:t>
  </x:si>
  <x:si>
    <x:t xml:space="preserve">www.seroguld.dk</x:t>
  </x:si>
  <x:si>
    <x:t xml:space="preserve">Tekst</x:t>
  </x:si>
  <x:si>
    <x:t xml:space="preserve">Antal</x:t>
  </x:si>
  <x:si>
    <x:t xml:space="preserve">Pris</x:t>
  </x:si>
  <x:si>
    <x:t xml:space="preserve">Varenr.</x:t>
  </x:si>
  <x:si>
    <x:t xml:space="preserve">Varebeskrivelse</x:t>
  </x:si>
  <x:si>
    <x:t xml:space="preserve">Dagspris 24 karat/ Finsølv</x:t>
  </x:si>
  <x:si>
    <x:t xml:space="preserve">Avanceprocent</x:t>
  </x:si>
  <x:si>
    <x:t xml:space="preserve">Guld</x:t>
  </x:si>
  <x:si>
    <x:t xml:space="preserve">Sterling sølv</x:t>
  </x:si>
  <x:si>
    <x:t xml:space="preserve">3 tårnet sølv</x:t>
  </x:si>
  <x:si>
    <x:t xml:space="preserve">Sølv</x:t>
  </x:si>
  <x:si>
    <x:t xml:space="preserve">Næste nummer:</x:t>
  </x:si>
  <x:si>
    <x:t xml:space="preserve">Generelt</x:t>
  </x:si>
  <x:si>
    <x:t xml:space="preserve">1.</x:t>
  </x:si>
  <x:si>
    <x:t xml:space="preserve">Når du er færdig med at anvende regnearket, skal du gemme det f.eks. ved at trykke på diskettesymbolet øverst til venstre i billedet.</x:t>
  </x:si>
  <x:si>
    <x:t xml:space="preserve">Hvis du ikke gemmer det, vil du starte på samme formularnumre som sidst, og numrene er ikke opdateret med de seneste ændringer.</x:t>
  </x:si>
  <x:si>
    <x:t xml:space="preserve">Skulle du få behov for at gentage et afregnings- eller fakturanummer, kan du rette nummeret på fanen "Variable værdier" i cellerne</x:t>
  </x:si>
  <x:si>
    <x:t xml:space="preserve">C14 eller D14.</x:t>
  </x:si>
  <x:si>
    <x:t xml:space="preserve">2.</x:t>
  </x:si>
  <x:si>
    <x:t xml:space="preserve">Hvis du anvender Tabuleringstasten til at bevæge cursoren med, vil den kun springe til felter, du kan rette i.</x:t>
  </x:si>
  <x:si>
    <x:t xml:space="preserve">3.</x:t>
  </x:si>
  <x:si>
    <x:t xml:space="preserve">Om du vil rydde formularerne for indhold og opdatere formularnummeret før du gemmer arket er en temperamentssag, men jeg anbe-</x:t>
  </x:si>
  <x:si>
    <x:t xml:space="preserve">faler, at du gør det på samme måde hver gang, så det bliver en rutine.</x:t>
  </x:si>
  <x:si>
    <x:t xml:space="preserve">4.</x:t>
  </x:si>
  <x:si>
    <x:t xml:space="preserve">Har du brug for at fjerne eller sætte arkbeskyttelsen til, skal du skifte til fanen "Gennemse" foroven i Excel arket.</x:t>
  </x:si>
  <x:si>
    <x:t xml:space="preserve">I kolonne A indtastes en talkode svarende til valgmulighederne på fanen "Variable værdier".</x:t>
  </x:si>
  <x:si>
    <x:t xml:space="preserve">I kolonne B kan indtastes en ønsket avanceprocent, der gælder for den pågældende linje. Indtastes der ikke en værdi, vil avanceprocenten </x:t>
  </x:si>
  <x:si>
    <x:t xml:space="preserve">fra fanen "Variable værdier blive anvendt.</x:t>
  </x:si>
  <x:si>
    <x:t xml:space="preserve">Kolonne C udfyldes automatisk.</x:t>
  </x:si>
  <x:si>
    <x:t xml:space="preserve">I kolonne D indtastes karat/finhed for varen.</x:t>
  </x:si>
  <x:si>
    <x:t xml:space="preserve">5.</x:t>
  </x:si>
  <x:si>
    <x:t xml:space="preserve">Kolonne E udfyldes automatisk.</x:t>
  </x:si>
  <x:si>
    <x:t xml:space="preserve">6.</x:t>
  </x:si>
  <x:si>
    <x:t xml:space="preserve">I kolonne F indtastes vægten i gram for varen.</x:t>
  </x:si>
  <x:si>
    <x:t xml:space="preserve">7.</x:t>
  </x:si>
  <x:si>
    <x:t xml:space="preserve">Herefter er varelinjen færdig, og totalen beregnes.</x:t>
  </x:si>
  <x:si>
    <x:t xml:space="preserve">Faktura guld og sølv</x:t>
  </x:si>
  <x:si>
    <x:t xml:space="preserve">Kolonne B udfyldes automatisk.</x:t>
  </x:si>
  <x:si>
    <x:t xml:space="preserve">I kolonne C indtastes karat/finhed for varen.</x:t>
  </x:si>
  <x:si>
    <x:t xml:space="preserve">Kolonne D udfyldes automatisk.</x:t>
  </x:si>
  <x:si>
    <x:t xml:space="preserve">I kolonne E indtastes vægten i gram for varen.</x:t>
  </x:si>
  <x:si>
    <x:t xml:space="preserve">De tre nederste linier på fakturaen kan anvendes til at skrive en valgfri tekst.</x:t>
  </x:si>
  <x:si>
    <x:t xml:space="preserve">Faktura diverse</x:t>
  </x:si>
  <x:si>
    <x:t xml:space="preserve">I kolonne B indtastes en valgfri tekst.</x:t>
  </x:si>
  <x:si>
    <x:t xml:space="preserve">I kolonne E indtastes antallet, hvis det er forskelligt fra 1.</x:t>
  </x:si>
  <x:si>
    <x:t xml:space="preserve">I kolonne F indtastes enhedsprisen.</x:t>
  </x:si>
  <x:si>
    <x:t xml:space="preserve">Herefter er varelinjen færdig, og totalen beregnes, idet der anvendes 1 for antal, såfremt der ikke er opgivet en anden værdi.</x:t>
  </x:si>
  <x:si>
    <x:t xml:space="preserve">Variable værdier</x:t>
  </x:si>
  <x:si>
    <x:t xml:space="preserve">Værdierne i de farvede felter kan rettes.</x:t>
  </x:si>
  <x:si>
    <x:t xml:space="preserve">Betydningen af de enkelte værdier fremgår af teksterne.</x:t>
  </x:si>
</x:sst>
</file>

<file path=xl/styles.xml><?xml version="1.0" encoding="utf-8"?>
<x:styleSheet xmlns:x="http://schemas.openxmlformats.org/spreadsheetml/2006/main">
  <x:numFmts count="5">
    <x:numFmt numFmtId="164" formatCode="0.0%"/>
    <x:numFmt numFmtId="165" formatCode="0.000"/>
    <x:numFmt numFmtId="200" formatCode="dd-mm-yyyy"/>
    <x:numFmt numFmtId="201" formatCode="0"/>
    <x:numFmt numFmtId="202" formatCode="@"/>
  </x:numFmts>
  <x:fonts count="21">
    <x:font>
      <x:sz val="11"/>
      <x:color theme="1"/>
      <x:name val="Calibri"/>
    </x:font>
    <x:font>
      <x:b/>
      <x:sz val="11"/>
      <x:color theme="1"/>
      <x:name val="Calibri"/>
    </x:font>
    <x:font>
      <x:b/>
      <x:sz val="18"/>
      <x:color theme="1"/>
      <x:name val="Times New Roman"/>
    </x:font>
    <x:font>
      <x:sz val="8"/>
      <x:color theme="1"/>
      <x:name val="Calibri"/>
    </x:font>
    <x:font>
      <x:b/>
      <x:sz val="14"/>
      <x:color theme="1"/>
      <x:name val="Calibri"/>
    </x:font>
    <x:font>
      <x:sz val="11"/>
      <x:color theme="10"/>
      <x:name val="Calibri"/>
    </x:font>
    <x:font>
      <x:sz val="8"/>
      <x:name val="Calibri"/>
    </x:font>
    <x:font>
      <x:sz val="11"/>
      <x:color theme="1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theme="1"/>
      <x:name val="Calibri"/>
    </x:font>
    <x:font>
      <x:sz val="8"/>
      <x:color rgb="FF000000"/>
      <x:name val="Calibri"/>
    </x:font>
    <x:font>
      <x:sz val="11"/>
      <x:color theme="0"/>
      <x:name val="Calibri"/>
    </x:font>
    <x:font>
      <x:b/>
      <x:sz val="14"/>
      <x:color theme="1"/>
      <x:name val="Biome Light"/>
    </x:font>
    <x:font>
      <x:i/>
      <x:sz val="10"/>
      <x:color theme="1"/>
      <x:name val="Vladimir Script"/>
    </x:font>
    <x:font>
      <x:sz val="10"/>
      <x:color theme="1"/>
      <x:name val="Calibri"/>
    </x:font>
    <x:font>
      <x:b/>
      <x:sz val="10"/>
      <x:color theme="1"/>
      <x:name val="Calibri"/>
    </x:font>
    <x:font>
      <x:sz val="11"/>
      <x:color rgb="FFDD0806"/>
      <x:name val="Calibri"/>
    </x:font>
    <x:font>
      <x:sz val="11"/>
      <x:color rgb="FF000000"/>
      <x:name val="Calibri"/>
    </x:font>
    <x:font>
      <x:b/>
      <x:sz val="8"/>
      <x:color rgb="FF9C0006"/>
      <x:name val="Calibri"/>
    </x:font>
    <x:font>
      <x:b/>
      <x:sz val="11"/>
      <x:color rgb="FF9C0006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theme="8" tint="0.79998"/>
      </x:patternFill>
    </x:fill>
    <x:fill>
      <x:patternFill patternType="solid">
        <x:fgColor rgb="FFFFC000"/>
      </x:patternFill>
    </x:fill>
    <x:fill>
      <x:patternFill patternType="solid">
        <x:fgColor theme="0" tint="-0.34999"/>
      </x:patternFill>
    </x:fill>
    <x:fill>
      <x:patternFill patternType="solid">
        <x:fgColor theme="0"/>
      </x:patternFill>
    </x:fill>
    <x:fill>
      <x:patternFill patternType="solid">
        <x:fgColor theme="2" tint="-0.09998"/>
      </x:patternFill>
    </x:fill>
    <x:fill>
      <x:patternFill patternType="solid">
        <x:fgColor theme="3"/>
      </x:patternFill>
    </x:fill>
    <x:fill>
      <x:patternFill patternType="solid">
        <x:fgColor theme="3" tint="0.79998"/>
      </x:patternFill>
    </x:fill>
  </x:fills>
  <x:borders count="48">
    <x:border/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</x:border>
    <x:border>
      <x:right style="thin">
        <x:color auto="1"/>
      </x:right>
    </x:border>
    <x:border>
      <x:bottom style="thin">
        <x:color auto="1"/>
      </x:bottom>
    </x:border>
    <x:border>
      <x:top style="thin">
        <x:color auto="1"/>
      </x:top>
      <x:bottom style="double">
        <x:color auto="1"/>
      </x:bottom>
    </x:border>
    <x:border>
      <x:left style="thin">
        <x:color auto="1"/>
      </x:left>
      <x:top style="thin">
        <x:color auto="1"/>
      </x:top>
      <x:bottom style="double">
        <x:color auto="1"/>
      </x:bottom>
    </x:border>
    <x:border>
      <x:right style="thin">
        <x:color auto="1"/>
      </x:right>
      <x:top style="thin">
        <x:color auto="1"/>
      </x:top>
      <x:bottom style="double">
        <x:color auto="1"/>
      </x:bottom>
    </x:border>
    <x:border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/>
    <x:border>
      <x:right style="thin">
        <x:color auto="1"/>
      </x:right>
    </x:border>
    <x:border>
      <x:right style="thin">
        <x:color auto="1"/>
      </x:right>
      <x:top style="thin">
        <x:color auto="1"/>
      </x:top>
      <x:bottom style="double">
        <x:color auto="1"/>
      </x:bottom>
    </x:border>
    <x:border>
      <x:bottom style="double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double">
        <x:color auto="1"/>
      </x:bottom>
    </x:border>
    <x:border>
      <x:top style="thin">
        <x:color auto="1"/>
      </x:top>
      <x:bottom style="double">
        <x:color auto="1"/>
      </x:bottom>
    </x:border>
    <x:border>
      <x:left style="thin">
        <x:color auto="1"/>
      </x:left>
    </x:border>
    <x:border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</x:borders>
  <x:cellStyleXfs count="3">
    <x:xf numFmtId="0" fontId="0" fillId="0" borderId="0"/>
    <x:xf numFmtId="0" fontId="5" fillId="0" borderId="0" applyNumberFormat="0" applyFill="0" applyBorder="0" applyAlignment="0" applyProtection="0">
      <x:alignment vertical="top"/>
      <x:protection locked="0"/>
    </x:xf>
    <x:xf numFmtId="0" fontId="7" fillId="0" borderId="0" applyNumberFormat="0" applyFill="0" applyBorder="0" applyAlignment="0" applyProtection="0"/>
  </x:cellStyleXfs>
  <x:cellXfs count="203">
    <x:xf numFmtId="0" fontId="0" fillId="0" borderId="0" xfId="0"/>
    <x:xf numFmtId="0" fontId="1" fillId="0" borderId="0" xfId="0" applyFont="1"/>
    <x:xf numFmtId="4" fontId="0" fillId="0" borderId="0" xfId="0" applyNumberFormat="1"/>
    <x:xf numFmtId="0" fontId="1" fillId="0" borderId="0" xfId="0" applyFont="1" applyAlignment="1">
      <x:alignment horizontal="right"/>
    </x:xf>
    <x:xf numFmtId="4" fontId="1" fillId="0" borderId="0" xfId="0" applyNumberFormat="1" applyFont="1"/>
    <x:xf numFmtId="0" fontId="0" fillId="0" borderId="0" xfId="0"/>
    <x:xf numFmtId="4" fontId="0" fillId="0" borderId="0" xfId="0" applyNumberFormat="1"/>
    <x:xf numFmtId="4" fontId="0" fillId="0" borderId="8" xfId="0" applyNumberFormat="1" applyBorder="1"/>
    <x:xf numFmtId="4" fontId="0" fillId="0" borderId="12" xfId="0" applyNumberFormat="1" applyBorder="1"/>
    <x:xf numFmtId="4" fontId="0" fillId="0" borderId="13" xfId="0" applyNumberFormat="1" applyBorder="1"/>
    <x:xf numFmtId="0" fontId="1" fillId="0" borderId="1" xfId="0" applyFont="1" applyBorder="1"/>
    <x:xf numFmtId="0" fontId="1" fillId="0" borderId="2" xfId="0" applyFont="1" applyBorder="1" applyAlignment="1">
      <x:alignment horizontal="right"/>
    </x:xf>
    <x:xf numFmtId="0" fontId="1" fillId="0" borderId="3" xfId="0" applyFont="1" applyBorder="1" applyAlignment="1">
      <x:alignment horizontal="right"/>
    </x:xf>
    <x:xf numFmtId="0" fontId="0" fillId="0" borderId="11" xfId="0" applyBorder="1"/>
    <x:xf numFmtId="0" fontId="0" fillId="0" borderId="10" xfId="0" applyBorder="1"/>
    <x:xf numFmtId="4" fontId="0" fillId="0" borderId="13" xfId="0" applyNumberFormat="1" applyBorder="1"/>
    <x:xf numFmtId="0" fontId="3" fillId="0" borderId="0" xfId="0" applyFont="1"/>
    <x:xf numFmtId="4" fontId="0" fillId="0" borderId="0" xfId="0" applyNumberFormat="1"/>
    <x:xf numFmtId="0" fontId="0" fillId="0" borderId="7" xfId="0" applyBorder="1"/>
    <x:xf numFmtId="0" fontId="0" fillId="0" borderId="0" xfId="0"/>
    <x:xf numFmtId="0" fontId="1" fillId="0" borderId="0" xfId="0" applyFont="1"/>
    <x:xf numFmtId="0" fontId="0" fillId="0" borderId="0" xfId="0" applyAlignment="1">
      <x:alignment horizontal="centerContinuous"/>
    </x:xf>
    <x:xf numFmtId="0" fontId="4" fillId="0" borderId="0" xfId="0" applyFont="1" applyAlignment="1">
      <x:alignment horizontal="centerContinuous"/>
    </x:xf>
    <x:xf numFmtId="4" fontId="0" fillId="0" borderId="9" xfId="0" applyNumberFormat="1" applyBorder="1"/>
    <x:xf numFmtId="14" fontId="0" fillId="0" borderId="0" xfId="0" applyNumberFormat="1"/>
    <x:xf numFmtId="4" fontId="0" fillId="0" borderId="10" xfId="0" applyNumberFormat="1" applyBorder="1"/>
    <x:xf numFmtId="14" fontId="0" fillId="0" borderId="0" xfId="0" applyNumberFormat="1"/>
    <x:xf numFmtId="0" fontId="4" fillId="0" borderId="0" xfId="0" applyFont="1"/>
    <x:xf numFmtId="0" fontId="0" fillId="0" borderId="0" xfId="0" applyAlignment="1">
      <x:alignment horizontal="centerContinuous"/>
    </x:xf>
    <x:xf numFmtId="0" fontId="2" fillId="0" borderId="0" xfId="0" applyFont="1"/>
    <x:xf numFmtId="0" fontId="5" fillId="0" borderId="0" xfId="1" applyAlignment="1"/>
    <x:xf numFmtId="0" fontId="0" fillId="0" borderId="0" xfId="0"/>
    <x:xf numFmtId="0" fontId="1" fillId="0" borderId="1" xfId="0" applyFont="1" applyBorder="1" applyAlignment="1">
      <x:alignment horizontal="centerContinuous"/>
    </x:xf>
    <x:xf numFmtId="0" fontId="1" fillId="0" borderId="0" xfId="0" applyFont="1" applyAlignment="1">
      <x:alignment horizontal="centerContinuous"/>
    </x:xf>
    <x:xf numFmtId="0" fontId="1" fillId="0" borderId="2" xfId="0" applyFont="1" applyBorder="1" applyAlignment="1">
      <x:alignment horizontal="centerContinuous"/>
    </x:xf>
    <x:xf numFmtId="0" fontId="0" fillId="0" borderId="9" xfId="0" applyBorder="1"/>
    <x:xf numFmtId="4" fontId="0" fillId="0" borderId="9" xfId="0" applyNumberFormat="1" applyBorder="1"/>
    <x:xf numFmtId="0" fontId="0" fillId="0" borderId="4" xfId="0" applyBorder="1"/>
    <x:xf numFmtId="0" fontId="0" fillId="0" borderId="5" xfId="0" applyBorder="1"/>
    <x:xf numFmtId="4" fontId="0" fillId="0" borderId="9" xfId="0" applyNumberFormat="1" applyBorder="1"/>
    <x:xf numFmtId="1" fontId="0" fillId="0" borderId="0" xfId="0" applyNumberFormat="1"/>
    <x:xf numFmtId="4" fontId="1" fillId="2" borderId="0" xfId="0" applyNumberFormat="1" applyFont="1" applyFill="1"/>
    <x:xf numFmtId="164" fontId="1" fillId="2" borderId="0" xfId="0" applyNumberFormat="1" applyFont="1" applyFill="1"/>
    <x:xf numFmtId="1" fontId="0" fillId="2" borderId="0" xfId="0" applyNumberFormat="1" applyFill="1"/>
    <x:xf numFmtId="0" fontId="4" fillId="0" borderId="0" xfId="0" applyFont="1"/>
    <x:xf numFmtId="1" fontId="1" fillId="0" borderId="0" xfId="0" applyNumberFormat="1" applyFont="1" applyAlignment="1">
      <x:alignment horizontal="center"/>
    </x:xf>
    <x:xf numFmtId="0" fontId="0" fillId="0" borderId="7" xfId="0" applyBorder="1"/>
    <x:xf numFmtId="0" fontId="0" fillId="0" borderId="4" xfId="0" applyBorder="1"/>
    <x:xf numFmtId="0" fontId="0" fillId="0" borderId="5" xfId="0" applyBorder="1"/>
    <x:xf numFmtId="4" fontId="0" fillId="0" borderId="6" xfId="0" applyNumberFormat="1" applyBorder="1"/>
    <x:xf numFmtId="0" fontId="0" fillId="0" borderId="8" xfId="0" applyBorder="1"/>
    <x:xf numFmtId="4" fontId="0" fillId="6" borderId="0" xfId="0" applyNumberFormat="1" applyFill="1"/>
    <x:xf numFmtId="0" fontId="8" fillId="0" borderId="0" xfId="0" applyFont="1"/>
    <x:xf numFmtId="14" fontId="8" fillId="0" borderId="0" xfId="0" applyNumberFormat="1" applyFont="1"/>
    <x:xf numFmtId="0" fontId="8" fillId="0" borderId="0" xfId="0" applyFont="1"/>
    <x:xf numFmtId="0" fontId="8" fillId="0" borderId="0" xfId="0" applyFont="1" applyAlignment="1">
      <x:alignment horizontal="centerContinuous"/>
    </x:xf>
    <x:xf numFmtId="3" fontId="8" fillId="0" borderId="0" xfId="0" applyNumberFormat="1" applyFont="1"/>
    <x:xf numFmtId="14" fontId="8" fillId="0" borderId="0" xfId="0" applyNumberFormat="1" applyFont="1"/>
    <x:xf numFmtId="0" fontId="8" fillId="0" borderId="0" xfId="0" applyFont="1" applyAlignment="1">
      <x:alignment horizontal="center"/>
    </x:xf>
    <x:xf numFmtId="0" fontId="9" fillId="0" borderId="0" xfId="0" applyFont="1"/>
    <x:xf numFmtId="0" fontId="10" fillId="0" borderId="0" xfId="0" applyFont="1" applyAlignment="1">
      <x:alignment horizontal="center"/>
    </x:xf>
    <x:xf numFmtId="0" fontId="8" fillId="0" borderId="4" xfId="0" applyFont="1" applyBorder="1"/>
    <x:xf numFmtId="0" fontId="8" fillId="0" borderId="5" xfId="0" applyFont="1" applyBorder="1"/>
    <x:xf numFmtId="0" fontId="8" fillId="0" borderId="5" xfId="0" applyFont="1" applyBorder="1"/>
    <x:xf numFmtId="4" fontId="8" fillId="0" borderId="6" xfId="0" applyNumberFormat="1" applyFont="1" applyBorder="1"/>
    <x:xf numFmtId="10" fontId="8" fillId="5" borderId="0" xfId="0" applyNumberFormat="1" applyFont="1" applyFill="1"/>
    <x:xf numFmtId="0" fontId="8" fillId="3" borderId="14" xfId="0" applyFont="1" applyFill="1" applyBorder="1"/>
    <x:xf numFmtId="0" fontId="8" fillId="3" borderId="14" xfId="0" applyFont="1" applyFill="1" applyBorder="1"/>
    <x:xf numFmtId="4" fontId="8" fillId="3" borderId="14" xfId="0" applyNumberFormat="1" applyFont="1" applyFill="1" applyBorder="1"/>
    <x:xf numFmtId="4" fontId="8" fillId="3" borderId="14" xfId="0" applyNumberFormat="1" applyFont="1" applyFill="1" applyBorder="1"/>
    <x:xf numFmtId="10" fontId="8" fillId="0" borderId="0" xfId="0" applyNumberFormat="1" applyFont="1"/>
    <x:xf numFmtId="0" fontId="8" fillId="4" borderId="14" xfId="0" applyFont="1" applyFill="1" applyBorder="1"/>
    <x:xf numFmtId="0" fontId="8" fillId="4" borderId="14" xfId="0" applyFont="1" applyFill="1" applyBorder="1"/>
    <x:xf numFmtId="4" fontId="8" fillId="4" borderId="14" xfId="0" applyNumberFormat="1" applyFont="1" applyFill="1" applyBorder="1"/>
    <x:xf numFmtId="4" fontId="8" fillId="4" borderId="14" xfId="0" applyNumberFormat="1" applyFont="1" applyFill="1" applyBorder="1"/>
    <x:xf numFmtId="0" fontId="8" fillId="0" borderId="7" xfId="0" applyFont="1" applyBorder="1"/>
    <x:xf numFmtId="0" fontId="8" fillId="0" borderId="9" xfId="0" applyFont="1" applyBorder="1"/>
    <x:xf numFmtId="0" fontId="8" fillId="0" borderId="0" xfId="0" applyFont="1"/>
    <x:xf numFmtId="4" fontId="8" fillId="0" borderId="9" xfId="0" applyNumberFormat="1" applyFont="1" applyBorder="1"/>
    <x:xf numFmtId="4" fontId="8" fillId="0" borderId="0" xfId="0" applyNumberFormat="1" applyFont="1"/>
    <x:xf numFmtId="4" fontId="8" fillId="0" borderId="8" xfId="0" applyNumberFormat="1" applyFont="1" applyBorder="1"/>
    <x:xf numFmtId="0" fontId="8" fillId="0" borderId="11" xfId="0" applyFont="1" applyBorder="1"/>
    <x:xf numFmtId="0" fontId="8" fillId="0" borderId="10" xfId="0" applyFont="1" applyBorder="1"/>
    <x:xf numFmtId="4" fontId="8" fillId="0" borderId="10" xfId="0" applyNumberFormat="1" applyFont="1" applyBorder="1"/>
    <x:xf numFmtId="4" fontId="8" fillId="0" borderId="12" xfId="0" applyNumberFormat="1" applyFont="1" applyBorder="1"/>
    <x:xf numFmtId="4" fontId="8" fillId="0" borderId="0" xfId="0" applyNumberFormat="1" applyFont="1"/>
    <x:xf numFmtId="4" fontId="8" fillId="0" borderId="9" xfId="0" applyNumberFormat="1" applyFont="1" applyBorder="1"/>
    <x:xf numFmtId="4" fontId="8" fillId="0" borderId="13" xfId="0" applyNumberFormat="1" applyFont="1" applyBorder="1"/>
    <x:xf numFmtId="4" fontId="8" fillId="0" borderId="13" xfId="0" applyNumberFormat="1" applyFont="1" applyBorder="1"/>
    <x:xf numFmtId="0" fontId="8" fillId="0" borderId="9" xfId="0" applyFont="1" applyBorder="1"/>
    <x:xf numFmtId="0" fontId="11" fillId="0" borderId="0" xfId="0" applyFont="1"/>
    <x:xf numFmtId="0" fontId="8" fillId="3" borderId="14" xfId="0" applyFont="1" applyFill="1" applyBorder="1"/>
    <x:xf numFmtId="0" fontId="8" fillId="4" borderId="14" xfId="0" applyFont="1" applyFill="1" applyBorder="1"/>
    <x:xf numFmtId="4" fontId="8" fillId="0" borderId="14" xfId="0" applyNumberFormat="1" applyFont="1" applyBorder="1"/>
    <x:xf numFmtId="165" fontId="8" fillId="0" borderId="14" xfId="0" applyNumberFormat="1" applyFont="1" applyBorder="1"/>
    <x:xf numFmtId="0" fontId="8" fillId="0" borderId="14" xfId="0" applyFont="1" applyBorder="1"/>
    <x:xf numFmtId="4" fontId="8" fillId="0" borderId="14" xfId="0" applyNumberFormat="1" applyFont="1" applyBorder="1"/>
    <x:xf numFmtId="0" fontId="14" fillId="0" borderId="0" xfId="0" applyFont="1" applyAlignment="1">
      <x:alignment horizontal="center"/>
    </x:xf>
    <x:xf numFmtId="0" fontId="1" fillId="6" borderId="1" xfId="0" applyFont="1" applyFill="1" applyBorder="1"/>
    <x:xf numFmtId="0" fontId="1" fillId="6" borderId="2" xfId="0" applyFont="1" applyFill="1" applyBorder="1" applyAlignment="1">
      <x:alignment horizontal="right"/>
    </x:xf>
    <x:xf numFmtId="0" fontId="1" fillId="6" borderId="3" xfId="0" applyFont="1" applyFill="1" applyBorder="1" applyAlignment="1">
      <x:alignment horizontal="right"/>
    </x:xf>
    <x:xf numFmtId="4" fontId="8" fillId="0" borderId="0" xfId="0" applyNumberFormat="1" applyFont="1"/>
    <x:xf numFmtId="4" fontId="12" fillId="7" borderId="15" xfId="0" applyNumberFormat="1" applyFont="1" applyFill="1" applyBorder="1"/>
    <x:xf numFmtId="0" fontId="12" fillId="7" borderId="16" xfId="0" applyFont="1" applyFill="1" applyBorder="1"/>
    <x:xf numFmtId="0" fontId="12" fillId="7" borderId="17" xfId="0" applyFont="1" applyFill="1" applyBorder="1"/>
    <x:xf numFmtId="4" fontId="0" fillId="0" borderId="18" xfId="0" applyNumberFormat="1" applyBorder="1"/>
    <x:xf numFmtId="0" fontId="0" fillId="0" borderId="14" xfId="0" applyBorder="1"/>
    <x:xf numFmtId="0" fontId="0" fillId="0" borderId="19" xfId="0" applyBorder="1"/>
    <x:xf numFmtId="0" fontId="8" fillId="0" borderId="18" xfId="0" applyFont="1" applyBorder="1"/>
    <x:xf numFmtId="0" fontId="8" fillId="0" borderId="19" xfId="0" applyFont="1" applyBorder="1"/>
    <x:xf numFmtId="0" fontId="0" fillId="0" borderId="18" xfId="0" applyBorder="1"/>
    <x:xf numFmtId="0" fontId="0" fillId="6" borderId="20" xfId="0" applyFill="1" applyBorder="1"/>
    <x:xf numFmtId="0" fontId="8" fillId="6" borderId="21" xfId="0" applyFont="1" applyFill="1" applyBorder="1"/>
    <x:xf numFmtId="0" fontId="8" fillId="6" borderId="22" xfId="0" applyFont="1" applyFill="1" applyBorder="1"/>
    <x:xf numFmtId="0" fontId="8" fillId="0" borderId="23" xfId="0" applyFont="1" applyBorder="1"/>
    <x:xf numFmtId="0" fontId="8" fillId="8" borderId="14" xfId="0" applyFont="1" applyFill="1" applyBorder="1"/>
    <x:xf numFmtId="0" fontId="8" fillId="8" borderId="14" xfId="0" applyFont="1" applyFill="1" applyBorder="1"/>
    <x:xf numFmtId="4" fontId="8" fillId="8" borderId="14" xfId="0" applyNumberFormat="1" applyFont="1" applyFill="1" applyBorder="1"/>
    <x:xf numFmtId="4" fontId="8" fillId="8" borderId="14" xfId="0" applyNumberFormat="1" applyFont="1" applyFill="1" applyBorder="1"/>
    <x:xf numFmtId="0" fontId="15" fillId="0" borderId="5" xfId="0" applyFont="1" applyBorder="1"/>
    <x:xf numFmtId="0" fontId="2" fillId="0" borderId="0" xfId="0" applyFont="1" applyAlignment="1">
      <x:alignment horizontal="centerContinuous"/>
    </x:xf>
    <x:xf numFmtId="0" fontId="5" fillId="0" borderId="0" xfId="1" applyAlignment="1"/>
    <x:xf numFmtId="0" fontId="3" fillId="0" borderId="9" xfId="0" applyFont="1" applyBorder="1"/>
    <x:xf numFmtId="0" fontId="13" fillId="0" borderId="0" xfId="0" applyFont="1" applyAlignment="1">
      <x:alignment horizontal="center"/>
    </x:xf>
    <x:xf numFmtId="0" fontId="14" fillId="0" borderId="0" xfId="0" applyFont="1" applyAlignment="1">
      <x:alignment horizontal="center"/>
    </x:xf>
    <x:xf numFmtId="0" fontId="0" fillId="0" borderId="24" xfId="0" applyNumberFormat="1" applyFont="1" applyFill="1" applyBorder="1"/>
    <x:xf numFmtId="0" fontId="1" fillId="0" borderId="24" xfId="0" applyNumberFormat="1" applyFont="1" applyFill="1" applyBorder="1"/>
    <x:xf numFmtId="4" fontId="0" fillId="0" borderId="24" xfId="0" applyNumberFormat="1" applyFont="1" applyFill="1" applyBorder="1"/>
    <x:xf numFmtId="0" fontId="1" fillId="0" borderId="24" xfId="0" applyNumberFormat="1" applyFont="1" applyFill="1" applyBorder="1" applyAlignment="1">
      <x:alignment horizontal="right"/>
    </x:xf>
    <x:xf numFmtId="4" fontId="1" fillId="0" borderId="24" xfId="0" applyNumberFormat="1" applyFont="1" applyFill="1" applyBorder="1"/>
    <x:xf numFmtId="4" fontId="0" fillId="0" borderId="25" xfId="0" applyNumberFormat="1" applyFont="1" applyFill="1" applyBorder="1"/>
    <x:xf numFmtId="4" fontId="0" fillId="0" borderId="26" xfId="0" applyNumberFormat="1" applyFont="1" applyFill="1" applyBorder="1"/>
    <x:xf numFmtId="4" fontId="0" fillId="0" borderId="27" xfId="0" applyNumberFormat="1" applyFont="1" applyFill="1" applyBorder="1"/>
    <x:xf numFmtId="0" fontId="1" fillId="0" borderId="28" xfId="0" applyNumberFormat="1" applyFont="1" applyFill="1" applyBorder="1"/>
    <x:xf numFmtId="0" fontId="1" fillId="0" borderId="29" xfId="0" applyNumberFormat="1" applyFont="1" applyFill="1" applyBorder="1" applyAlignment="1">
      <x:alignment horizontal="right"/>
    </x:xf>
    <x:xf numFmtId="0" fontId="1" fillId="0" borderId="30" xfId="0" applyNumberFormat="1" applyFont="1" applyFill="1" applyBorder="1" applyAlignment="1">
      <x:alignment horizontal="right"/>
    </x:xf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3" fillId="0" borderId="24" xfId="0" applyNumberFormat="1" applyFont="1" applyFill="1" applyBorder="1"/>
    <x:xf numFmtId="0" fontId="0" fillId="0" borderId="33" xfId="0" applyNumberFormat="1" applyFont="1" applyFill="1" applyBorder="1"/>
    <x:xf numFmtId="0" fontId="0" fillId="0" borderId="24" xfId="0" applyNumberFormat="1" applyFont="1" applyFill="1" applyBorder="1" applyAlignment="1">
      <x:alignment horizontal="centerContinuous"/>
    </x:xf>
    <x:xf numFmtId="0" fontId="4" fillId="0" borderId="24" xfId="0" applyNumberFormat="1" applyFont="1" applyFill="1" applyBorder="1" applyAlignment="1">
      <x:alignment horizontal="centerContinuous"/>
    </x:xf>
    <x:xf numFmtId="4" fontId="0" fillId="0" borderId="34" xfId="0" applyNumberFormat="1" applyFont="1" applyFill="1" applyBorder="1"/>
    <x:xf numFmtId="14" fontId="0" fillId="0" borderId="24" xfId="0" applyNumberFormat="1" applyFont="1" applyFill="1" applyBorder="1"/>
    <x:xf numFmtId="4" fontId="0" fillId="0" borderId="32" xfId="0" applyNumberFormat="1" applyFont="1" applyFill="1" applyBorder="1"/>
    <x:xf numFmtId="0" fontId="4" fillId="0" borderId="24" xfId="0" applyNumberFormat="1" applyFont="1" applyFill="1" applyBorder="1"/>
    <x:xf numFmtId="0" fontId="2" fillId="0" borderId="24" xfId="0" applyNumberFormat="1" applyFont="1" applyFill="1" applyBorder="1"/>
    <x:xf numFmtId="0" fontId="5" fillId="0" borderId="24" xfId="0" applyNumberFormat="1" applyFont="1" applyFill="1" applyBorder="1"/>
    <x:xf numFmtId="0" fontId="1" fillId="0" borderId="28" xfId="0" applyNumberFormat="1" applyFont="1" applyFill="1" applyBorder="1" applyAlignment="1">
      <x:alignment horizontal="centerContinuous"/>
    </x:xf>
    <x:xf numFmtId="0" fontId="1" fillId="0" borderId="24" xfId="0" applyNumberFormat="1" applyFont="1" applyFill="1" applyBorder="1" applyAlignment="1">
      <x:alignment horizontal="centerContinuous"/>
    </x:xf>
    <x:xf numFmtId="0" fontId="1" fillId="0" borderId="29" xfId="0" applyNumberFormat="1" applyFont="1" applyFill="1" applyBorder="1" applyAlignment="1">
      <x:alignment horizontal="centerContinuous"/>
    </x:xf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1" fontId="0" fillId="0" borderId="24" xfId="0" applyNumberFormat="1" applyFont="1" applyFill="1" applyBorder="1"/>
    <x:xf numFmtId="4" fontId="1" fillId="2" borderId="24" xfId="0" applyNumberFormat="1" applyFont="1" applyFill="1" applyBorder="1"/>
    <x:xf numFmtId="164" fontId="1" fillId="2" borderId="24" xfId="0" applyNumberFormat="1" applyFont="1" applyFill="1" applyBorder="1"/>
    <x:xf numFmtId="1" fontId="0" fillId="2" borderId="24" xfId="0" applyNumberFormat="1" applyFont="1" applyFill="1" applyBorder="1"/>
    <x:xf numFmtId="1" fontId="1" fillId="0" borderId="24" xfId="0" applyNumberFormat="1" applyFont="1" applyFill="1" applyBorder="1" applyAlignment="1">
      <x:alignment horizontal="center"/>
    </x:xf>
    <x:xf numFmtId="4" fontId="0" fillId="0" borderId="37" xfId="0" applyNumberFormat="1" applyFont="1" applyFill="1" applyBorder="1"/>
    <x:xf numFmtId="0" fontId="0" fillId="0" borderId="25" xfId="0" applyNumberFormat="1" applyFont="1" applyFill="1" applyBorder="1"/>
    <x:xf numFmtId="4" fontId="0" fillId="6" borderId="24" xfId="0" applyNumberFormat="1" applyFont="1" applyFill="1" applyBorder="1"/>
    <x:xf numFmtId="3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0" fontId="1" fillId="0" borderId="24" xfId="0" applyNumberFormat="1" applyFont="1" applyFill="1" applyBorder="1" applyAlignment="1">
      <x:alignment horizontal="center"/>
    </x:xf>
    <x:xf numFmtId="10" fontId="0" fillId="5" borderId="24" xfId="0" applyNumberFormat="1" applyFont="1" applyFill="1" applyBorder="1"/>
    <x:xf numFmtId="0" fontId="0" fillId="3" borderId="38" xfId="0" applyNumberFormat="1" applyFont="1" applyFill="1" applyBorder="1"/>
    <x:xf numFmtId="4" fontId="0" fillId="3" borderId="38" xfId="0" applyNumberFormat="1" applyFont="1" applyFill="1" applyBorder="1"/>
    <x:xf numFmtId="10" fontId="0" fillId="0" borderId="24" xfId="0" applyNumberFormat="1" applyFont="1" applyFill="1" applyBorder="1"/>
    <x:xf numFmtId="0" fontId="0" fillId="4" borderId="38" xfId="0" applyNumberFormat="1" applyFont="1" applyFill="1" applyBorder="1"/>
    <x:xf numFmtId="4" fontId="0" fillId="4" borderId="38" xfId="0" applyNumberFormat="1" applyFont="1" applyFill="1" applyBorder="1"/>
    <x:xf numFmtId="0" fontId="11" fillId="0" borderId="24" xfId="0" applyNumberFormat="1" applyFont="1" applyFill="1" applyBorder="1"/>
    <x:xf numFmtId="4" fontId="0" fillId="0" borderId="38" xfId="0" applyNumberFormat="1" applyFont="1" applyFill="1" applyBorder="1"/>
    <x:xf numFmtId="165" fontId="0" fillId="0" borderId="38" xfId="0" applyNumberFormat="1" applyFont="1" applyFill="1" applyBorder="1"/>
    <x:xf numFmtId="0" fontId="0" fillId="0" borderId="38" xfId="0" applyNumberFormat="1" applyFont="1" applyFill="1" applyBorder="1"/>
    <x:xf numFmtId="0" fontId="14" fillId="0" borderId="24" xfId="0" applyNumberFormat="1" applyFont="1" applyFill="1" applyBorder="1" applyAlignment="1">
      <x:alignment horizontal="center"/>
    </x:xf>
    <x:xf numFmtId="0" fontId="1" fillId="6" borderId="28" xfId="0" applyNumberFormat="1" applyFont="1" applyFill="1" applyBorder="1"/>
    <x:xf numFmtId="0" fontId="1" fillId="6" borderId="29" xfId="0" applyNumberFormat="1" applyFont="1" applyFill="1" applyBorder="1" applyAlignment="1">
      <x:alignment horizontal="right"/>
    </x:xf>
    <x:xf numFmtId="0" fontId="1" fillId="6" borderId="30" xfId="0" applyNumberFormat="1" applyFont="1" applyFill="1" applyBorder="1" applyAlignment="1">
      <x:alignment horizontal="right"/>
    </x:xf>
    <x:xf numFmtId="4" fontId="12" fillId="7" borderId="39" xfId="0" applyNumberFormat="1" applyFont="1" applyFill="1" applyBorder="1"/>
    <x:xf numFmtId="0" fontId="12" fillId="7" borderId="40" xfId="0" applyNumberFormat="1" applyFont="1" applyFill="1" applyBorder="1"/>
    <x:xf numFmtId="0" fontId="12" fillId="7" borderId="41" xfId="0" applyNumberFormat="1" applyFont="1" applyFill="1" applyBorder="1"/>
    <x:xf numFmtId="4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2" xfId="0" applyNumberFormat="1" applyFont="1" applyFill="1" applyBorder="1"/>
    <x:xf numFmtId="0" fontId="0" fillId="6" borderId="44" xfId="0" applyNumberFormat="1" applyFont="1" applyFill="1" applyBorder="1"/>
    <x:xf numFmtId="0" fontId="0" fillId="6" borderId="45" xfId="0" applyNumberFormat="1" applyFont="1" applyFill="1" applyBorder="1"/>
    <x:xf numFmtId="0" fontId="0" fillId="6" borderId="46" xfId="0" applyNumberFormat="1" applyFont="1" applyFill="1" applyBorder="1"/>
    <x:xf numFmtId="0" fontId="0" fillId="0" borderId="47" xfId="0" applyNumberFormat="1" applyFont="1" applyFill="1" applyBorder="1"/>
    <x:xf numFmtId="0" fontId="0" fillId="8" borderId="38" xfId="0" applyNumberFormat="1" applyFont="1" applyFill="1" applyBorder="1"/>
    <x:xf numFmtId="4" fontId="0" fillId="8" borderId="38" xfId="0" applyNumberFormat="1" applyFont="1" applyFill="1" applyBorder="1"/>
    <x:xf numFmtId="0" fontId="15" fillId="0" borderId="36" xfId="0" applyNumberFormat="1" applyFont="1" applyFill="1" applyBorder="1"/>
    <x:xf numFmtId="0" fontId="2" fillId="0" borderId="24" xfId="0" applyNumberFormat="1" applyFont="1" applyFill="1" applyBorder="1" applyAlignment="1">
      <x:alignment horizontal="centerContinuous"/>
    </x:xf>
    <x:xf numFmtId="0" fontId="3" fillId="0" borderId="34" xfId="0" applyNumberFormat="1" applyFont="1" applyFill="1" applyBorder="1"/>
    <x:xf numFmtId="0" fontId="13" fillId="0" borderId="24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24" xfId="0" applyNumberFormat="1" applyFont="1" applyFill="1" applyBorder="1"/>
    <x:xf numFmtId="201" fontId="0" fillId="0" borderId="0" xfId="0" applyNumberFormat="1" applyFont="1" applyFill="1" applyBorder="1"/>
    <x:xf numFmtId="201" fontId="0" fillId="0" borderId="24" xfId="0" applyNumberFormat="1" applyFont="1" applyFill="1" applyBorder="1"/>
    <x:xf numFmtId="202" fontId="0" fillId="0" borderId="0" xfId="0" applyNumberFormat="1" applyFont="1" applyFill="1" applyBorder="1"/>
    <x:xf numFmtId="202" fontId="0" fillId="0" borderId="24" xfId="0" applyNumberFormat="1" applyFont="1" applyFill="1" applyBorder="1"/>
    <x:xf numFmtId="0" fontId="19" fillId="0" borderId="0" xfId="0" applyNumberFormat="1" applyFont="1" applyFill="1" applyBorder="1"/>
    <x:xf numFmtId="0" fontId="20" fillId="0" borderId="0" xfId="0" applyNumberFormat="1" applyFont="1" applyFill="1" applyBorder="1"/>
  </x:cellXfs>
  <x:cellStyles count="3">
    <x:cellStyle name="Followed Hyperlink" xfId="2"/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e6fe7df96a4f35" /><Relationship Type="http://schemas.openxmlformats.org/officeDocument/2006/relationships/theme" Target="/xl/theme/theme1.xml" Id="R420e50936afb4727" /><Relationship Type="http://schemas.openxmlformats.org/officeDocument/2006/relationships/sharedStrings" Target="/xl/sharedStrings.xml" Id="R7f6d3abee7c340f9" /><Relationship Type="http://schemas.openxmlformats.org/officeDocument/2006/relationships/worksheet" Target="/xl/worksheets/sheet1.xml" Id="Rf68c4bb6e5d748df" /><Relationship Type="http://schemas.openxmlformats.org/officeDocument/2006/relationships/worksheet" Target="/xl/worksheets/sheet2.xml" Id="R391136d0f8fe4c28" /><Relationship Type="http://schemas.openxmlformats.org/officeDocument/2006/relationships/worksheet" Target="/xl/worksheets/sheet3.xml" Id="R24eb021c06a94a99" /><Relationship Type="http://schemas.openxmlformats.org/officeDocument/2006/relationships/worksheet" Target="/xl/worksheets/sheet4.xml" Id="Rc4e9ce8d03db4892" /><Relationship Type="http://schemas.openxmlformats.org/officeDocument/2006/relationships/worksheet" Target="/xl/worksheets/sheet5.xml" Id="R49c59b0d45104f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bb04f10702f4b0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6cdef3bd93884aa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bb1478d09e39453a" /></Relationships>
</file>

<file path=xl/drawings/drawing1.xml><?xml version="1.0" encoding="utf-8"?>
<xdr:wsDr xmlns:xdr="http://schemas.openxmlformats.org/drawingml/2006/spreadsheetDrawing">
  <xdr:twoCellAnchor editAs="oneCell">
    <xdr:from>
      <xdr:col>2</xdr:col>
      <xdr:colOff>365760</xdr:colOff>
      <xdr:row>5</xdr:row>
      <xdr:rowOff>83820</xdr:rowOff>
    </xdr:from>
    <xdr:to>
      <xdr:col>3</xdr:col>
      <xdr:colOff>641985</xdr:colOff>
      <xdr:row>11</xdr:row>
      <xdr:rowOff>166226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b04f10702f4b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4</xdr:col>
      <xdr:colOff>76202</xdr:colOff>
      <xdr:row>3</xdr:row>
      <xdr:rowOff>85726</xdr:rowOff>
    </xdr:from>
    <xdr:to>
      <xdr:col>4</xdr:col>
      <xdr:colOff>895350</xdr:colOff>
      <xdr:row>8</xdr:row>
      <xdr:rowOff>7007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def3bd93884a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4</xdr:col>
      <xdr:colOff>76202</xdr:colOff>
      <xdr:row>3</xdr:row>
      <xdr:rowOff>85726</xdr:rowOff>
    </xdr:from>
    <xdr:to>
      <xdr:col>4</xdr:col>
      <xdr:colOff>895350</xdr:colOff>
      <xdr:row>8</xdr:row>
      <xdr:rowOff>7007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1478d09e3945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898090e02f49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mailto:seroguld@seroguld.dk" TargetMode="External" Id="R1dc93750d748400e" /><Relationship Type="http://schemas.openxmlformats.org/officeDocument/2006/relationships/hyperlink" Target="http://www.seroguld.dk/" TargetMode="External" Id="R2f3bad94e2dd431b" /><Relationship Type="http://schemas.openxmlformats.org/officeDocument/2006/relationships/drawing" Target="/xl/drawings/drawing2.xml" Id="R0698ec90fe3a47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mailto:seroguld@seroguld.dk" TargetMode="External" Id="R016d874239524152" /><Relationship Type="http://schemas.openxmlformats.org/officeDocument/2006/relationships/hyperlink" Target="http://www.seroguld.dk/" TargetMode="External" Id="R92322cc604f24c03" /><Relationship Type="http://schemas.openxmlformats.org/officeDocument/2006/relationships/drawing" Target="/xl/drawings/drawing3.xml" Id="Rca1aad3f4dc04f9f" /></Relationships>
</file>

<file path=xl/worksheets/sheet1.xml><?xml version="1.0" encoding="utf-8"?>
<x:worksheet xmlns:x="http://schemas.openxmlformats.org/spreadsheetml/2006/main">
  <x:sheetFormatPr defaultColWidth="8.81640625" defaultRowHeight="14.5"/>
  <x:cols>
    <x:col min="1" max="1" width="4" style="52" customWidth="1"/>
    <x:col min="2" max="2" width="7.7265625" style="52" customWidth="1"/>
    <x:col min="3" max="3" width="13" style="52" customWidth="1"/>
    <x:col min="4" max="4" width="15.453125" style="52" customWidth="1"/>
    <x:col min="5" max="5" width="14.1796875" style="52" customWidth="1"/>
    <x:col min="6" max="6" width="10.7265625" style="52" customWidth="1"/>
    <x:col min="7" max="7" width="16.453125" style="52" customWidth="1"/>
    <x:col min="8" max="8" width="14.1796875" style="52" customWidth="1"/>
    <x:col min="9" max="16384" width="8.81640625" style="52" customWidth="0"/>
  </x:cols>
  <x:sheetData>
    <x:row r="2">
      <x:c r="D2" s="195" t="n">
        <x:f ca="1">H7</x:f>
        <x:v>46237</x:v>
      </x:c>
    </x:row>
    <x:row r="4">
      <x:c r="C4" s="54"/>
      <x:c r="D4" s="54"/>
      <x:c r="E4" s="54"/>
      <x:c r="F4" s="54"/>
      <x:c r="G4" s="54"/>
      <x:c r="H4" s="54"/>
    </x:row>
    <x:row r="5" ht="22.5">
      <x:c r="C5" s="120" t="s">
        <x:v>0</x:v>
      </x:c>
      <x:c r="D5" s="55"/>
      <x:c r="E5" s="55"/>
      <x:c r="F5" s="55"/>
      <x:c r="G5" s="55"/>
      <x:c r="H5" s="55"/>
    </x:row>
    <x:row r="6" ht="18" customHeight="1">
      <x:c r="C6" s="54"/>
      <x:c r="D6" s="54"/>
      <x:c r="F6" s="54"/>
      <x:c r="G6" s="54" t="s">
        <x:v>1</x:v>
      </x:c>
      <x:c r="H6" s="197" t="n">
        <x:v>11016</x:v>
      </x:c>
    </x:row>
    <x:row r="7">
      <x:c r="C7" s="54"/>
      <x:c r="D7" s="54"/>
      <x:c r="F7" s="57"/>
      <x:c r="G7" s="54" t="s">
        <x:v>2</x:v>
      </x:c>
      <x:c r="H7" s="195" t="n">
        <x:v>46237</x:v>
      </x:c>
    </x:row>
    <x:row r="8">
      <x:c r="C8" s="54"/>
      <x:c r="D8" s="54"/>
      <x:c r="F8" s="54"/>
      <x:c r="H8" s="54"/>
    </x:row>
    <x:row r="9">
      <x:c r="C9" s="54"/>
      <x:c r="D9" s="54"/>
      <x:c r="F9" s="54"/>
      <x:c r="H9" s="54"/>
    </x:row>
    <x:row r="10">
      <x:c r="C10" s="54"/>
      <x:c r="D10" s="54"/>
      <x:c r="F10" s="54"/>
      <x:c r="H10" s="54"/>
    </x:row>
    <x:row r="11">
      <x:c r="C11" s="54"/>
      <x:c r="D11" s="54"/>
      <x:c r="F11" s="54"/>
      <x:c r="H11" s="54"/>
    </x:row>
    <x:row r="12">
      <x:c r="B12" s="58" t="s">
        <x:v>3</x:v>
      </x:c>
      <x:c r="C12" s="54"/>
      <x:c r="D12" s="54"/>
      <x:c r="F12" s="54"/>
      <x:c r="H12" s="54"/>
    </x:row>
    <x:row r="13" ht="18.5">
      <x:c r="B13" s="58" t="s">
        <x:v>4</x:v>
      </x:c>
      <x:c r="C13" s="123" t="s">
        <x:v>5</x:v>
      </x:c>
      <x:c r="D13" s="123"/>
      <x:c r="E13" s="54"/>
      <x:c r="F13" s="54"/>
      <x:c r="G13" s="54"/>
      <x:c r="H13" s="54"/>
    </x:row>
    <x:row r="14">
      <x:c r="B14" s="58" t="s">
        <x:v>6</x:v>
      </x:c>
      <x:c r="C14" s="124" t="s">
        <x:v>7</x:v>
      </x:c>
      <x:c r="D14" s="124"/>
      <x:c r="E14" s="55"/>
      <x:c r="F14" s="55"/>
      <x:c r="H14" s="54"/>
    </x:row>
    <x:row r="15">
      <x:c r="B15" s="58"/>
      <x:c r="C15" s="97"/>
      <x:c r="D15" s="97"/>
      <x:c r="E15" s="55"/>
      <x:c r="F15" s="55"/>
      <x:c r="H15" s="54"/>
    </x:row>
    <x:row r="16">
      <x:c r="B16" s="58" t="s">
        <x:v>8</x:v>
      </x:c>
      <x:c r="C16" s="54" t="s">
        <x:v>9</x:v>
      </x:c>
      <x:c r="D16" s="199" t="str">
        <x:v>Louise Højbjerg</x:v>
      </x:c>
      <x:c r="F16" s="54" t="s">
        <x:v>10</x:v>
      </x:c>
      <x:c r="G16" s="199" t="str">
        <x:v>120990-1016</x:v>
      </x:c>
      <x:c r="H16" s="54"/>
    </x:row>
    <x:row r="17">
      <x:c r="B17" s="58" t="s">
        <x:v>11</x:v>
      </x:c>
      <x:c r="C17" s="54" t="s">
        <x:v>12</x:v>
      </x:c>
      <x:c r="D17" s="199" t="str">
        <x:v>Datavej 19</x:v>
      </x:c>
      <x:c r="F17" s="54" t="s">
        <x:v>13</x:v>
      </x:c>
      <x:c r="G17" s="199" t="str">
        <x:v>Pas TEST-P-0016</x:v>
      </x:c>
      <x:c r="H17" s="54"/>
    </x:row>
    <x:row r="18">
      <x:c r="B18" s="58" t="s">
        <x:v>14</x:v>
      </x:c>
      <x:c r="C18" s="54" t="s">
        <x:v>15</x:v>
      </x:c>
      <x:c r="D18" s="199" t="str">
        <x:v>2100 København Ø</x:v>
      </x:c>
      <x:c r="F18" s="54" t="s">
        <x:v>16</x:v>
      </x:c>
      <x:c r="G18" s="199" t="str">
        <x:v>+45 35 00 10 16</x:v>
      </x:c>
      <x:c r="H18" s="54"/>
    </x:row>
    <x:row r="19" ht="15">
      <x:c r="B19" s="58" t="s">
        <x:v>17</x:v>
      </x:c>
      <x:c r="C19" s="54"/>
      <x:c r="D19" s="55"/>
      <x:c r="E19" s="54"/>
      <x:c r="F19" s="54" t="s">
        <x:v>18</x:v>
      </x:c>
      <x:c r="G19" s="199" t="str">
        <x:v>testkunde16@example.com</x:v>
      </x:c>
      <x:c r="H19" s="121"/>
    </x:row>
    <x:row r="20" s="59" customFormat="1">
      <x:c r="A20" s="1"/>
      <x:c r="B20" s="60" t="s">
        <x:v>19</x:v>
      </x:c>
      <x:c r="C20" s="98" t="s">
        <x:v>20</x:v>
      </x:c>
      <x:c r="D20" s="99" t="s">
        <x:v>21</x:v>
      </x:c>
      <x:c r="E20" s="99" t="s">
        <x:v>22</x:v>
      </x:c>
      <x:c r="F20" s="99" t="s">
        <x:v>23</x:v>
      </x:c>
      <x:c r="G20" s="99" t="s">
        <x:v>24</x:v>
      </x:c>
      <x:c r="H20" s="100" t="s">
        <x:v>25</x:v>
      </x:c>
      <x:c r="I20" s="1"/>
      <x:c r="J20" s="102" t="s">
        <x:v>26</x:v>
      </x:c>
      <x:c r="K20" s="103"/>
      <x:c r="L20" s="104"/>
    </x:row>
    <x:row r="21">
      <x:c r="A21" s="54"/>
      <x:c r="B21" s="54"/>
      <x:c r="C21" s="61"/>
      <x:c r="D21" s="62"/>
      <x:c r="E21" s="63"/>
      <x:c r="F21" s="62"/>
      <x:c r="G21" s="63"/>
      <x:c r="H21" s="64"/>
      <x:c r="J21" s="105" t="s">
        <x:v>27</x:v>
      </x:c>
      <x:c r="K21" s="106" t="s">
        <x:v>28</x:v>
      </x:c>
      <x:c r="L21" s="107" t="s">
        <x:v>29</x:v>
      </x:c>
    </x:row>
    <x:row r="22">
      <x:c r="A22" s="54">
        <x:v>1</x:v>
      </x:c>
      <x:c r="B22" s="65">
        <x:v>0.14449999999999999</x:v>
      </x:c>
      <x:c r="C22" s="66" t="str">
        <x:f>IF(A22,VLOOKUP(A22,'Variable værdier'!$A$4:$B$12,2,3),"")</x:f>
        <x:v>Guld</x:v>
      </x:c>
      <x:c r="D22" s="67">
        <x:v>8</x:v>
      </x:c>
      <x:c r="E22" s="66" t="n">
        <x:f>IF(A22,IF(A22=1,IF(D22=14,585,CEILING((D22/24)*999,1)),IF(D22,D22,VLOOKUP(A22,'Variable værdier'!$A$4:$D$12,4))),0)</x:f>
        <x:v>333</x:v>
      </x:c>
      <x:c r="F22" s="68"/>
      <x:c r="G22" s="69" t="n">
        <x:f>ROUND(IF(A22=1,('Variable værdier'!$C$4*Afregningsbilag!D22/24)*IF(B22,(1-B22),(1-'Variable værdier'!$E$4)),IF(A22=2,'Variable værdier'!$C$5*Afregningsbilag!E22/'Variable værdier'!$D$5*IF(B22,(1-B22),(1-'Variable værdier'!$E$4)),IF(A22=3,'Variable værdier'!$C$6*IF(B22,(1-B22),(1-'Variable værdier'!$E$4)),IF(A22=4,'Variable værdier'!$C$7*IF(B22,(1-B22),(1-'Variable værdier'!$E$4)))))),2)</x:f>
        <x:v>267.69</x:v>
      </x:c>
      <x:c r="H22" s="69" t="n">
        <x:f>ROUND(F22*G22,2)</x:f>
        <x:v>0</x:v>
      </x:c>
      <x:c r="J22" s="108">
        <x:v>10</x:v>
      </x:c>
      <x:c r="K22" s="95"/>
      <x:c r="L22" s="109" t="n">
        <x:f>+K22*J22</x:f>
        <x:v>0</x:v>
      </x:c>
    </x:row>
    <x:row r="23">
      <x:c r="A23" s="54">
        <x:v>1</x:v>
      </x:c>
      <x:c r="B23" s="65">
        <x:v>8.5000000000000006E-2</x:v>
      </x:c>
      <x:c r="C23" s="66" t="str">
        <x:f>IF(A23,VLOOKUP(A23,'Variable værdier'!$A$4:$B$12,2,3),"")</x:f>
        <x:v>Guld</x:v>
      </x:c>
      <x:c r="D23" s="67">
        <x:v>14</x:v>
      </x:c>
      <x:c r="E23" s="66" t="n">
        <x:f>IF(A23,IF(A23=1,IF(D23=14,585,CEILING((D23/24)*999,1)),IF(D23,D23,VLOOKUP(A23,'Variable værdier'!$A$4:$D$12,4))),0)</x:f>
        <x:v>585</x:v>
      </x:c>
      <x:c r="F23" s="68"/>
      <x:c r="G23" s="69" t="n">
        <x:f>ROUND(IF(A23=1,('Variable værdier'!$C$4*Afregningsbilag!D23/24)*IF(B23,(1-B23),(1-'Variable værdier'!$E$4)),IF(A23=2,'Variable værdier'!$C$5*Afregningsbilag!E23/'Variable værdier'!$D$5*IF(B23,(1-B23),(1-'Variable værdier'!$E$4)),IF(A23=3,'Variable værdier'!$C$6*IF(B23,(1-B23),(1-'Variable værdier'!$E$4)),IF(A23=4,'Variable værdier'!$C$7*IF(B23,(1-B23),(1-'Variable værdier'!$E$4)))))),2)</x:f>
        <x:v>501.03</x:v>
      </x:c>
      <x:c r="H23" s="69" t="n">
        <x:f t="shared" ref="H23:H37" si="0">ROUND(F23*G23,2)</x:f>
        <x:v>0</x:v>
      </x:c>
      <x:c r="J23" s="108">
        <x:v>13</x:v>
      </x:c>
      <x:c r="K23" s="95"/>
      <x:c r="L23" s="109" t="n">
        <x:f t="shared" ref="L23:L26" si="1">+K23*J23</x:f>
        <x:v>0</x:v>
      </x:c>
    </x:row>
    <x:row r="24">
      <x:c r="A24" s="54">
        <x:v>1</x:v>
      </x:c>
      <x:c r="B24" s="65">
        <x:v>0.11715</x:v>
      </x:c>
      <x:c r="C24" s="66" t="str">
        <x:f>IF(A24,VLOOKUP(A24,'Variable værdier'!$A$4:$B$12,2,3),"")</x:f>
        <x:v>Guld</x:v>
      </x:c>
      <x:c r="D24" s="67">
        <x:v>18</x:v>
      </x:c>
      <x:c r="E24" s="66" t="n">
        <x:f>IF(A24,IF(A24=1,IF(D24=14,585,CEILING((D24/24)*999,1)),IF(D24,D24,VLOOKUP(A24,'Variable værdier'!$A$4:$D$12,4))),0)</x:f>
        <x:v>750</x:v>
      </x:c>
      <x:c r="F24" s="68"/>
      <x:c r="G24" s="69" t="n">
        <x:f>ROUND(IF(A24=1,('Variable værdier'!$C$4*Afregningsbilag!D24/24)*IF(B24,(1-B24),(1-'Variable værdier'!$E$4)),IF(A24=2,'Variable værdier'!$C$5*Afregningsbilag!E24/'Variable værdier'!$D$5*IF(B24,(1-B24),(1-'Variable værdier'!$E$4)),IF(A24=3,'Variable værdier'!$C$6*IF(B24,(1-B24),(1-'Variable værdier'!$E$4)),IF(A24=4,'Variable værdier'!$C$7*IF(B24,(1-B24),(1-'Variable værdier'!$E$4)))))),2)</x:f>
        <x:v>621.55</x:v>
      </x:c>
      <x:c r="H24" s="69" t="n">
        <x:f t="shared" si="0">ROUND(F24*G24,2)</x:f>
        <x:v>0</x:v>
      </x:c>
      <x:c r="J24" s="108">
        <x:v>16</x:v>
      </x:c>
      <x:c r="K24" s="95"/>
      <x:c r="L24" s="109">
        <x:f t="shared" si="1"/>
        <x:v>0</x:v>
      </x:c>
    </x:row>
    <x:row r="25">
      <x:c r="A25" s="54">
        <x:v>1</x:v>
      </x:c>
      <x:c r="B25" s="65">
        <x:v>0.13835</x:v>
      </x:c>
      <x:c r="C25" s="66" t="str">
        <x:f>IF(A25,VLOOKUP(A25,'Variable værdier'!$A$4:$B$12,2,3),"")</x:f>
        <x:v>Guld</x:v>
      </x:c>
      <x:c r="D25" s="67">
        <x:v>21</x:v>
      </x:c>
      <x:c r="E25" s="66" t="n">
        <x:f>IF(A25,IF(A25=1,IF(D25=14,585,CEILING((D25/24)*999,1)),IF(D25,D25,VLOOKUP(A25,'Variable værdier'!$A$4:$D$12,4))),0)</x:f>
        <x:v>875</x:v>
      </x:c>
      <x:c r="F25" s="68"/>
      <x:c r="G25" s="69" t="n">
        <x:f>ROUND(IF(A25=1,('Variable værdier'!$C$4*Afregningsbilag!D25/24)*IF(B25,(1-B25),(1-'Variable værdier'!$E$4)),IF(A25=2,'Variable værdier'!$C$5*Afregningsbilag!E25/'Variable værdier'!$D$5*IF(B25,(1-B25),(1-'Variable værdier'!$E$4)),IF(A25=3,'Variable værdier'!$C$6*IF(B25,(1-B25),(1-'Variable værdier'!$E$4)),IF(A25=4,'Variable værdier'!$C$7*IF(B25,(1-B25),(1-'Variable værdier'!$E$4)))))),2)</x:f>
        <x:v>707.73</x:v>
      </x:c>
      <x:c r="H25" s="69" t="n">
        <x:f t="shared" si="0">ROUND(F25*G25,2)</x:f>
        <x:v>0</x:v>
      </x:c>
      <x:c r="J25" s="110">
        <x:v>17</x:v>
      </x:c>
      <x:c r="K25" s="106"/>
      <x:c r="L25" s="109">
        <x:f t="shared" si="1"/>
        <x:v>0</x:v>
      </x:c>
    </x:row>
    <x:row r="26">
      <x:c r="A26" s="54">
        <x:v>1</x:v>
      </x:c>
      <x:c r="B26" s="65">
        <x:v>0.1</x:v>
      </x:c>
      <x:c r="C26" s="66" t="str">
        <x:f>IF(A26,VLOOKUP(A26,'Variable værdier'!$A$4:$B$12,2,3),"")</x:f>
        <x:v>Guld</x:v>
      </x:c>
      <x:c r="D26" s="67">
        <x:v>21.6</x:v>
      </x:c>
      <x:c r="E26" s="66" t="n">
        <x:f>IF(A26,IF(A26=1,IF(D26=14,585,CEILING((D26/24)*999,1)),IF(D26,D26,VLOOKUP(A26,'Variable værdier'!$A$4:$D$12,4))),0)</x:f>
        <x:v>900</x:v>
      </x:c>
      <x:c r="F26" s="68"/>
      <x:c r="G26" s="69" t="n">
        <x:f>ROUND(IF(A26=1,('Variable værdier'!$C$4*Afregningsbilag!D26/24)*IF(B26,(1-B26),(1-'Variable værdier'!$E$4)),IF(A26=2,'Variable værdier'!$C$5*Afregningsbilag!E26/'Variable værdier'!$D$5*IF(B26,(1-B26),(1-'Variable værdier'!$E$4)),IF(A26=3,'Variable værdier'!$C$6*IF(B26,(1-B26),(1-'Variable værdier'!$E$4)),IF(A26=4,'Variable værdier'!$C$7*IF(B26,(1-B26),(1-'Variable værdier'!$E$4)))))),2)</x:f>
        <x:v>760.35</x:v>
      </x:c>
      <x:c r="H26" s="69" t="n">
        <x:f t="shared" si="0">ROUND(F26*G26,2)</x:f>
        <x:v>0</x:v>
      </x:c>
      <x:c r="J26" s="110">
        <x:v>20</x:v>
      </x:c>
      <x:c r="K26" s="106"/>
      <x:c r="L26" s="109">
        <x:f t="shared" si="1"/>
        <x:v>0</x:v>
      </x:c>
    </x:row>
    <x:row r="27" ht="15">
      <x:c r="A27" s="54">
        <x:v>1</x:v>
      </x:c>
      <x:c r="B27" s="65">
        <x:v>0.08</x:v>
      </x:c>
      <x:c r="C27" s="66" t="str">
        <x:f>IF(A27,VLOOKUP(A27,'Variable værdier'!$A$4:$B$12,2,3),"")</x:f>
        <x:v>Guld</x:v>
      </x:c>
      <x:c r="D27" s="67">
        <x:v>22</x:v>
      </x:c>
      <x:c r="E27" s="66" t="n">
        <x:f>IF(A27,IF(A27=1,IF(D27=14,585,CEILING((D27/24)*999,1)),IF(D27,D27,VLOOKUP(A27,'Variable værdier'!$A$4:$D$12,4))),0)</x:f>
        <x:v>916</x:v>
      </x:c>
      <x:c r="F27" s="68" t="n">
        <x:v>1.5</x:v>
      </x:c>
      <x:c r="G27" s="69" t="n">
        <x:f>ROUND(IF(A27=1,('Variable værdier'!$C$4*Afregningsbilag!D27/24)*IF(B27,(1-B27),(1-'Variable værdier'!$E$4)),IF(A27=2,'Variable værdier'!$C$5*Afregningsbilag!E27/'Variable værdier'!$D$5*IF(B27,(1-B27),(1-'Variable værdier'!$E$4)),IF(A27=3,'Variable værdier'!$C$6*IF(B27,(1-B27),(1-'Variable værdier'!$E$4)),IF(A27=4,'Variable værdier'!$C$7*IF(B27,(1-B27),(1-'Variable værdier'!$E$4)))))),2)</x:f>
        <x:v>791.64</x:v>
      </x:c>
      <x:c r="H27" s="69" t="n">
        <x:f t="shared" si="0">ROUND(F27*G27,2)</x:f>
        <x:v>1187.46</x:v>
      </x:c>
      <x:c r="J27" s="111" t="s">
        <x:v>25</x:v>
      </x:c>
      <x:c r="K27" s="112"/>
      <x:c r="L27" s="113" t="n">
        <x:f>SUM(L22:L26)</x:f>
        <x:v>0</x:v>
      </x:c>
    </x:row>
    <x:row r="28">
      <x:c r="A28" s="54">
        <x:v>1</x:v>
      </x:c>
      <x:c r="B28" s="65">
        <x:v>2.9000000000000001E-2</x:v>
      </x:c>
      <x:c r="C28" s="66" t="str">
        <x:f>IF(A28,VLOOKUP(A28,'Variable værdier'!$A$4:$B$12,2,3),"")</x:f>
        <x:v>Guld</x:v>
      </x:c>
      <x:c r="D28" s="67">
        <x:v>24</x:v>
      </x:c>
      <x:c r="E28" s="66" t="n">
        <x:f>IF(A28,IF(A28=1,IF(D28=14,585,CEILING((D28/24)*999,1)),IF(D28,D28,VLOOKUP(A28,'Variable værdier'!$A$4:$D$12,4))),0)</x:f>
        <x:v>999</x:v>
      </x:c>
      <x:c r="F28" s="68" t="n">
        <x:v>0.75</x:v>
      </x:c>
      <x:c r="G28" s="69" t="n">
        <x:f>ROUND(IF(A28=1,('Variable værdier'!$C$4*Afregningsbilag!D28/24)*IF(B28,(1-B28),(1-'Variable værdier'!$E$4)),IF(A28=2,'Variable værdier'!$C$5*Afregningsbilag!E28/'Variable værdier'!$D$5*IF(B28,(1-B28),(1-'Variable værdier'!$E$4)),IF(A28=3,'Variable værdier'!$C$6*IF(B28,(1-B28),(1-'Variable værdier'!$E$4)),IF(A28=4,'Variable værdier'!$C$7*IF(B28,(1-B28),(1-'Variable værdier'!$E$4)))))),2)</x:f>
        <x:v>911.48</x:v>
      </x:c>
      <x:c r="H28" s="69" t="n">
        <x:f t="shared" si="0">ROUND(F28*G28,2)</x:f>
        <x:v>683.61</x:v>
      </x:c>
    </x:row>
    <x:row r="29" ht="7.5" customHeight="1">
      <x:c r="A29" s="54"/>
      <x:c r="B29" s="65"/>
      <x:c r="C29" s="115"/>
      <x:c r="D29" s="116"/>
      <x:c r="E29" s="115"/>
      <x:c r="F29" s="117"/>
      <x:c r="G29" s="118"/>
      <x:c r="H29" s="118"/>
    </x:row>
    <x:row r="30">
      <x:c r="A30" s="54">
        <x:v>2</x:v>
      </x:c>
      <x:c r="B30" s="70"/>
      <x:c r="C30" s="71" t="str">
        <x:f>IF(A30,VLOOKUP(A30,'Variable værdier'!$A$4:$B$12,2,3),"")</x:f>
        <x:v>Finsølv</x:v>
      </x:c>
      <x:c r="D30" s="72"/>
      <x:c r="E30" s="71" t="n">
        <x:f>IF(A30,IF(A30=1,IF(D30=14,585,CEILING((D30/24)*999,1)),IF(D30,D30,VLOOKUP(A30,'Variable værdier'!$A$4:$D$12,4))),0)</x:f>
        <x:v>999</x:v>
      </x:c>
      <x:c r="F30" s="73"/>
      <x:c r="G30" s="74">
        <x:v>17</x:v>
      </x:c>
      <x:c r="H30" s="74" t="n">
        <x:f t="shared" si="0">ROUND(F30*G30,2)</x:f>
        <x:v>0</x:v>
      </x:c>
      <x:c r="J30" s="102" t="s">
        <x:v>30</x:v>
      </x:c>
      <x:c r="K30" s="103"/>
      <x:c r="L30" s="104"/>
    </x:row>
    <x:row r="31">
      <x:c r="A31" s="54">
        <x:v>3</x:v>
      </x:c>
      <x:c r="B31" s="70"/>
      <x:c r="C31" s="71" t="str">
        <x:f>IF(A31,VLOOKUP(A31,'Variable værdier'!$A$4:$B$12,2,3),"")</x:f>
        <x:v>Sterling sølv</x:v>
      </x:c>
      <x:c r="D31" s="72"/>
      <x:c r="E31" s="71" t="n">
        <x:f>IF(A31,IF(A31=1,IF(D31=14,585,CEILING((D31/24)*999,1)),IF(D31,D31,VLOOKUP(A31,'Variable værdier'!$A$4:$D$12,4))),0)</x:f>
        <x:v>925</x:v>
      </x:c>
      <x:c r="F31" s="73"/>
      <x:c r="G31" s="74">
        <x:v>14.1</x:v>
      </x:c>
      <x:c r="H31" s="74" t="n">
        <x:f t="shared" si="0">ROUND(F31*G31,2)</x:f>
        <x:v>0</x:v>
      </x:c>
      <x:c r="J31" s="105" t="s">
        <x:v>27</x:v>
      </x:c>
      <x:c r="K31" s="106" t="s">
        <x:v>28</x:v>
      </x:c>
      <x:c r="L31" s="107" t="s">
        <x:v>29</x:v>
      </x:c>
    </x:row>
    <x:row r="32">
      <x:c r="A32" s="54">
        <x:v>4</x:v>
      </x:c>
      <x:c r="B32" s="70"/>
      <x:c r="C32" s="71" t="str">
        <x:f>IF(A32,VLOOKUP(A32,'Variable værdier'!$A$4:$B$12,2,3),"")</x:f>
        <x:v>3 tårnet sølv</x:v>
      </x:c>
      <x:c r="D32" s="72"/>
      <x:c r="E32" s="71" t="n">
        <x:f>IF(A32,IF(A32=1,IF(D32=14,585,CEILING((D32/24)*999,1)),IF(D32,D32,VLOOKUP(A32,'Variable værdier'!$A$4:$D$12,4))),0)</x:f>
        <x:v>830</x:v>
      </x:c>
      <x:c r="F32" s="73"/>
      <x:c r="G32" s="74">
        <x:v>12.6</x:v>
      </x:c>
      <x:c r="H32" s="74" t="n">
        <x:f t="shared" si="0">ROUND(F32*G32,2)</x:f>
        <x:v>0</x:v>
      </x:c>
      <x:c r="J32" s="105">
        <x:v>1.754</x:v>
      </x:c>
      <x:c r="K32" s="106"/>
      <x:c r="L32" s="107" t="n">
        <x:f>+K32*J32</x:f>
        <x:v>0</x:v>
      </x:c>
    </x:row>
    <x:row r="33">
      <x:c r="A33" s="54">
        <x:v>5</x:v>
      </x:c>
      <x:c r="B33" s="70"/>
      <x:c r="C33" s="71" t="s">
        <x:v>31</x:v>
      </x:c>
      <x:c r="D33" s="72"/>
      <x:c r="E33" s="71" t="str">
        <x:f>IF(A33,IF(A33=1,IF(D33=14,585,CEILING((D33/24)*999,1)),IF(D33,D33,VLOOKUP(A33,'Variable værdier'!$A$4:$D$12,4))),0)</x:f>
      </x:c>
      <x:c r="F33" s="73" t="n">
        <x:v>900</x:v>
      </x:c>
      <x:c r="G33" s="74">
        <x:v>0.02</x:v>
      </x:c>
      <x:c r="H33" s="74" t="n">
        <x:f t="shared" si="0">ROUND(F33*G33,2)</x:f>
        <x:v>18</x:v>
      </x:c>
      <x:c r="J33" s="108">
        <x:v>3.508</x:v>
      </x:c>
      <x:c r="K33" s="95"/>
      <x:c r="L33" s="109" t="n">
        <x:f>+K33*J33</x:f>
        <x:v>0</x:v>
      </x:c>
    </x:row>
    <x:row r="34">
      <x:c r="A34" s="54"/>
      <x:c r="B34" s="70"/>
      <x:c r="C34" s="71" t="str">
        <x:f>IF(A34,VLOOKUP(A34,'Variable værdier'!$A$4:$B$12,2,3),"")</x:f>
      </x:c>
      <x:c r="D34" s="72"/>
      <x:c r="E34" s="71" t="n">
        <x:f>IF(A34,IF(A34=1,IF(D34=14,585,CEILING((D34/24)*999,1)),IF(D34,D34,VLOOKUP(A34,'Variable værdier'!$A$4:$D$12,4))),0)</x:f>
        <x:v>0</x:v>
      </x:c>
      <x:c r="F34" s="73"/>
      <x:c r="G34" s="74" t="n">
        <x:f>ROUND(IF(A34=1,('Variable værdier'!$C$4*Afregningsbilag!D34/24)*IF(B34,(1-B34),(1-'Variable værdier'!$E$4)),IF(A34=2,'Variable værdier'!$C$5*Afregningsbilag!E34/'Variable værdier'!$D$5*IF(B34,(1-B34),(1-'Variable værdier'!$E$4)),IF(A34=3,'Variable værdier'!$C$6*IF(B34,(1-B34),(1-'Variable værdier'!$E$4)),IF(A34=4,'Variable værdier'!$C$7*IF(B34,(1-B34),(1-'Variable værdier'!$E$4)))))),2)</x:f>
        <x:v>0</x:v>
      </x:c>
      <x:c r="H34" s="74" t="n">
        <x:f t="shared" si="0">ROUND(F34*G34,2)</x:f>
        <x:v>0</x:v>
      </x:c>
      <x:c r="J34" s="108">
        <x:v>7.016</x:v>
      </x:c>
      <x:c r="K34" s="95"/>
      <x:c r="L34" s="109" t="n">
        <x:f t="shared" ref="L34:L37" si="2">+K34*J34</x:f>
        <x:v>0</x:v>
      </x:c>
    </x:row>
    <x:row r="35">
      <x:c r="A35" s="54"/>
      <x:c r="B35" s="70"/>
      <x:c r="C35" s="71" t="str">
        <x:f>IF(A35,VLOOKUP(A35,'Variable værdier'!$A$4:$B$12,2,3),"")</x:f>
      </x:c>
      <x:c r="D35" s="72"/>
      <x:c r="E35" s="71" t="n">
        <x:f>IF(A35,IF(A35=1,IF(D35=14,585,CEILING((D35/24)*999,1)),IF(D35,D35,VLOOKUP(A35,'Variable værdier'!$A$4:$D$12,4))),0)</x:f>
        <x:v>0</x:v>
      </x:c>
      <x:c r="F35" s="73"/>
      <x:c r="G35" s="74" t="n">
        <x:f>ROUND(IF(A35=1,('Variable værdier'!$C$4*Afregningsbilag!D35/24)*IF(B35,(1-B35),(1-'Variable værdier'!$E$4)),IF(A35=2,'Variable værdier'!$C$5*Afregningsbilag!E35/'Variable værdier'!$D$5*IF(B35,(1-B35),(1-'Variable værdier'!$E$4)),IF(A35=3,'Variable værdier'!$C$6*IF(B35,(1-B35),(1-'Variable værdier'!$E$4)),IF(A35=4,'Variable værdier'!$C$7*IF(B35,(1-B35),(1-'Variable værdier'!$E$4)))))),2)</x:f>
        <x:v>0</x:v>
      </x:c>
      <x:c r="H35" s="74" t="n">
        <x:f t="shared" si="0">ROUND(F35*G35,2)</x:f>
        <x:v>0</x:v>
      </x:c>
      <x:c r="J35" s="108">
        <x:v>17.54</x:v>
      </x:c>
      <x:c r="K35" s="95"/>
      <x:c r="L35" s="109">
        <x:f t="shared" si="2"/>
        <x:v>0</x:v>
      </x:c>
    </x:row>
    <x:row r="36">
      <x:c r="A36" s="54"/>
      <x:c r="B36" s="70"/>
      <x:c r="C36" s="71" t="str">
        <x:f>IF(A36,VLOOKUP(A36,'Variable værdier'!$A$4:$B$12,2,3),"")</x:f>
      </x:c>
      <x:c r="D36" s="72"/>
      <x:c r="E36" s="71" t="n">
        <x:f>IF(A36,IF(A36=1,IF(D36=14,585,CEILING((D36/24)*999,1)),IF(D36,D36,VLOOKUP(A36,'Variable værdier'!$A$4:$D$12,4))),0)</x:f>
        <x:v>0</x:v>
      </x:c>
      <x:c r="F36" s="73"/>
      <x:c r="G36" s="74" t="n">
        <x:f>ROUND(IF(A36=1,('Variable værdier'!$C$4*Afregningsbilag!D36/24)*IF(B36,(1-B36),(1-'Variable værdier'!$E$4)),IF(A36=2,'Variable værdier'!$C$5*Afregningsbilag!E36/'Variable værdier'!$D$5*IF(B36,(1-B36),(1-'Variable værdier'!$E$4)),IF(A36=3,'Variable værdier'!$C$6*IF(B36,(1-B36),(1-'Variable værdier'!$E$4)),IF(A36=4,'Variable værdier'!$C$7*IF(B36,(1-B36),(1-'Variable værdier'!$E$4)))))),2)</x:f>
        <x:v>0</x:v>
      </x:c>
      <x:c r="H36" s="74" t="n">
        <x:f t="shared" si="0">ROUND(F36*G36,2)</x:f>
        <x:v>0</x:v>
      </x:c>
      <x:c r="J36" s="110"/>
      <x:c r="K36" s="106"/>
      <x:c r="L36" s="109">
        <x:f t="shared" si="2"/>
        <x:v>0</x:v>
      </x:c>
    </x:row>
    <x:row r="37">
      <x:c r="A37" s="54"/>
      <x:c r="B37" s="70"/>
      <x:c r="C37" s="75" t="str">
        <x:f>IF(A37,VLOOKUP(A37,'Variable værdier'!$A$4:$B$12,2,3),"")</x:f>
      </x:c>
      <x:c r="D37" s="76"/>
      <x:c r="E37" s="77" t="n">
        <x:f>IF(A37,IF(A37=1,IF(D37=14,585,CEILING((D37/24)*999,1)),IF(D37,D37,VLOOKUP(A37,'Variable værdier'!$A$4:$D$12,4))),0)</x:f>
        <x:v>0</x:v>
      </x:c>
      <x:c r="F37" s="78"/>
      <x:c r="G37" s="79" t="n">
        <x:f>ROUND(IF(A37=1,('Variable værdier'!$C$4*Afregningsbilag!D37/24)*IF(B37,(1-B37),(1-'Variable værdier'!$E$4)),IF(A37=2,'Variable værdier'!$C$5*Afregningsbilag!E37/'Variable værdier'!$D$5*IF(B37,(1-B37),(1-'Variable værdier'!$E$4)),IF(A37=3,'Variable værdier'!$C$6*IF(B37,(1-B37),(1-'Variable værdier'!$E$4)),IF(A37=4,'Variable værdier'!$C$7*IF(B37,(1-B37),(1-'Variable værdier'!$E$4)))))),2)</x:f>
        <x:v>0</x:v>
      </x:c>
      <x:c r="H37" s="80" t="n">
        <x:f t="shared" si="0">ROUND(F37*G37,2)</x:f>
        <x:v>0</x:v>
      </x:c>
      <x:c r="J37" s="110"/>
      <x:c r="K37" s="106"/>
      <x:c r="L37" s="109">
        <x:f t="shared" si="2"/>
        <x:v>0</x:v>
      </x:c>
    </x:row>
    <x:row r="38" ht="15">
      <x:c r="C38" s="81" t="s">
        <x:v>25</x:v>
      </x:c>
      <x:c r="D38" s="82"/>
      <x:c r="E38" s="82"/>
      <x:c r="F38" s="83" t="n">
        <x:f>SUM(F22:F37)</x:f>
        <x:v>902.25</x:v>
      </x:c>
      <x:c r="G38" s="82"/>
      <x:c r="H38" s="84" t="n">
        <x:f>SUM(H22:H37)</x:f>
        <x:v>1889.0700000000002</x:v>
      </x:c>
      <x:c r="J38" s="111" t="s">
        <x:v>25</x:v>
      </x:c>
      <x:c r="K38" s="112"/>
      <x:c r="L38" s="113" t="n">
        <x:f>SUM(L32:L37)</x:f>
        <x:v>0</x:v>
      </x:c>
    </x:row>
    <x:row r="39" ht="15">
      <x:c r="G39" s="85"/>
      <x:c r="H39" s="79"/>
    </x:row>
    <x:row r="40" ht="18.75" customHeight="1">
      <x:c r="C40" s="20" t="s">
        <x:v>32</x:v>
      </x:c>
      <x:c r="D40" s="101" t="n">
        <x:f>+H43</x:f>
        <x:v>1889.0700000000002</x:v>
      </x:c>
      <x:c r="E40" s="54"/>
      <x:c r="F40" s="54"/>
      <x:c r="G40" s="85" t="s">
        <x:v>33</x:v>
      </x:c>
      <x:c r="H40" s="79" t="n">
        <x:f>H38</x:f>
        <x:v>1889.0700000000002</x:v>
      </x:c>
    </x:row>
    <x:row r="41" ht="18.75" customHeight="1">
      <x:c r="C41" s="20" t="s">
        <x:v>34</x:v>
      </x:c>
      <x:c r="D41" s="199" t="str">
        <x:v>1016</x:v>
      </x:c>
      <x:c r="E41" s="54"/>
      <x:c r="F41" s="54"/>
      <x:c r="G41" s="85"/>
      <x:c r="H41" s="79"/>
    </x:row>
    <x:row r="42" ht="18.75" customHeight="1">
      <x:c r="A42" s="54"/>
      <x:c r="B42" s="54"/>
      <x:c r="C42" s="20" t="s">
        <x:v>35</x:v>
      </x:c>
      <x:c r="D42" s="199" t="str">
        <x:v>1000001016</x:v>
      </x:c>
      <x:c r="E42" s="54"/>
      <x:c r="F42" s="54"/>
      <x:c r="G42" s="85" t="s">
        <x:v>36</x:v>
      </x:c>
      <x:c r="H42" s="86" t="n">
        <x:f>IF(A42,ROUND(H40*25%,2),0)</x:f>
        <x:v>0</x:v>
      </x:c>
    </x:row>
    <x:row r="43" ht="18.75" customHeight="1">
      <x:c r="D43" s="54"/>
      <x:c r="E43" s="54"/>
      <x:c r="F43" s="54"/>
      <x:c r="G43" s="87" t="s">
        <x:v>25</x:v>
      </x:c>
      <x:c r="H43" s="88" t="n">
        <x:f>SUM(H40:H42)</x:f>
        <x:v>1889.0700000000002</x:v>
      </x:c>
    </x:row>
    <x:row r="44" ht="15">
      <x:c r="C44" s="54"/>
      <x:c r="D44" s="54"/>
      <x:c r="E44" s="54"/>
      <x:c r="F44" s="54"/>
      <x:c r="G44" s="85"/>
      <x:c r="H44" s="85"/>
    </x:row>
    <x:row r="45">
      <x:c r="G45" s="85"/>
      <x:c r="H45" s="85"/>
    </x:row>
    <x:row r="46">
      <x:c r="C46" s="122" t="s">
        <x:v>37</x:v>
      </x:c>
      <x:c r="D46" s="89"/>
      <x:c r="E46" s="89"/>
      <x:c r="F46" s="89"/>
      <x:c r="G46" s="85"/>
      <x:c r="H46" s="85"/>
    </x:row>
    <x:row r="47">
      <x:c r="C47" s="16" t="s">
        <x:v>38</x:v>
      </x:c>
      <x:c r="G47" s="85"/>
      <x:c r="H47" s="85"/>
    </x:row>
    <x:row r="48">
      <x:c r="C48" s="16" t="s">
        <x:v>39</x:v>
      </x:c>
      <x:c r="G48" s="85"/>
      <x:c r="H48" s="85"/>
    </x:row>
    <x:row r="49">
      <x:c r="C49" s="90" t="s">
        <x:v>40</x:v>
      </x:c>
      <x:c r="G49" s="85"/>
      <x:c r="H49" s="85"/>
    </x:row>
    <x:row r="50">
      <x:c r="C50" s="201" t="str">
        <x:v>TESTDATA – IKKE GYLDIGT DOKUMENT</x:v>
      </x:c>
      <x:c r="H50" s="85"/>
    </x:row>
    <x:row r="51">
      <x:c r="C51" s="202" t="str">
        <x:v>Kun til Sero Guld importtest</x:v>
      </x:c>
      <x:c r="G51" s="85"/>
      <x:c r="H51" s="85"/>
    </x:row>
    <x:row r="52">
      <x:c r="H52" s="85"/>
    </x:row>
    <x:row r="53">
      <x:c r="C53" s="119" t="s">
        <x:v>41</x:v>
      </x:c>
      <x:c r="D53" s="119"/>
      <x:c r="E53" s="119"/>
      <x:c r="F53" s="119"/>
      <x:c r="G53" s="119"/>
      <x:c r="H53" s="85"/>
    </x:row>
    <x:row r="54">
      <x:c r="C54" t="s">
        <x:v>42</x:v>
      </x:c>
      <x:c r="H54" s="85"/>
    </x:row>
    <x:row r="55">
      <x:c r="H55" s="85"/>
    </x:row>
    <x:row r="74">
      <x:c r="D74" s="91" t="s">
        <x:v>43</x:v>
      </x:c>
      <x:c r="E74" s="91" t="s">
        <x:v>44</x:v>
      </x:c>
      <x:c r="F74" s="91" t="s">
        <x:v>45</x:v>
      </x:c>
      <x:c r="G74" s="92" t="s">
        <x:v>46</x:v>
      </x:c>
      <x:c r="H74" s="92" t="s">
        <x:v>47</x:v>
      </x:c>
      <x:c r="I74" s="92" t="s">
        <x:v>48</x:v>
      </x:c>
    </x:row>
    <x:row r="75">
      <x:c r="D75" s="93" t="n">
        <x:f>SUM(F22:F28)</x:f>
        <x:v>2.25</x:v>
      </x:c>
      <x:c r="E75" s="93" t="n">
        <x:f>SUM(H22:H28)</x:f>
        <x:v>1871.0700000000002</x:v>
      </x:c>
      <x:c r="F75" s="94" t="n">
        <x:f>+F88</x:f>
        <x:v>0</x:v>
      </x:c>
      <x:c r="G75" s="93" t="n">
        <x:f>+SUM(I79:I81)</x:f>
        <x:v>0</x:v>
      </x:c>
      <x:c r="H75" s="93" t="n">
        <x:f>SUM(H30:H36)</x:f>
        <x:v>18</x:v>
      </x:c>
      <x:c r="I75" s="94" t="n">
        <x:f>+J82</x:f>
        <x:v>0</x:v>
      </x:c>
    </x:row>
    <x:row r="78">
      <x:c r="D78" s="95" t="s">
        <x:v>49</x:v>
      </x:c>
      <x:c r="E78" s="95" t="s">
        <x:v>50</x:v>
      </x:c>
      <x:c r="F78" s="95" t="s">
        <x:v>51</x:v>
      </x:c>
      <x:c r="H78" s="95" t="s">
        <x:v>52</x:v>
      </x:c>
      <x:c r="I78" s="95" t="s">
        <x:v>50</x:v>
      </x:c>
      <x:c r="J78" s="95" t="s">
        <x:v>48</x:v>
      </x:c>
    </x:row>
    <x:row r="79">
      <x:c r="D79" s="95">
        <x:v>8</x:v>
      </x:c>
      <x:c r="E79" s="96" t="n">
        <x:f>+F22</x:f>
        <x:v>0</x:v>
      </x:c>
      <x:c r="F79" s="95" t="n">
        <x:f>SUM(E79*0.333)</x:f>
        <x:v>0</x:v>
      </x:c>
      <x:c r="H79" s="95" t="s">
        <x:v>48</x:v>
      </x:c>
      <x:c r="I79" s="96" t="n">
        <x:f>+F30</x:f>
        <x:v>0</x:v>
      </x:c>
      <x:c r="J79" s="95" t="n">
        <x:f>SUM(I79*0.999)</x:f>
        <x:v>0</x:v>
      </x:c>
    </x:row>
    <x:row r="80">
      <x:c r="D80" s="95">
        <x:v>9</x:v>
      </x:c>
      <x:c r="E80" s="96"/>
      <x:c r="F80" s="95" t="n">
        <x:f>SUM(E80*0.375)</x:f>
        <x:v>0</x:v>
      </x:c>
      <x:c r="H80" s="95" t="s">
        <x:v>53</x:v>
      </x:c>
      <x:c r="I80" s="96" t="n">
        <x:f>+F31</x:f>
        <x:v>0</x:v>
      </x:c>
      <x:c r="J80" s="95" t="n">
        <x:f>SUM(I80*0.925)</x:f>
        <x:v>0</x:v>
      </x:c>
    </x:row>
    <x:row r="81">
      <x:c r="D81" s="95">
        <x:v>10</x:v>
      </x:c>
      <x:c r="E81" s="95"/>
      <x:c r="F81" s="95" t="n">
        <x:f>SUM(E81*0.416)</x:f>
        <x:v>0</x:v>
      </x:c>
      <x:c r="H81" s="114" t="s">
        <x:v>54</x:v>
      </x:c>
      <x:c r="I81" s="93" t="n">
        <x:f>+F32</x:f>
        <x:v>0</x:v>
      </x:c>
      <x:c r="J81" s="95" t="n">
        <x:f>SUM(I81*0.83)</x:f>
        <x:v>0</x:v>
      </x:c>
    </x:row>
    <x:row r="82">
      <x:c r="D82" s="95">
        <x:v>14</x:v>
      </x:c>
      <x:c r="E82" s="96" t="n">
        <x:f t="shared" ref="E82:E87" si="3">+F23</x:f>
        <x:v>0</x:v>
      </x:c>
      <x:c r="F82" s="95" t="n">
        <x:f>SUM(E82*0.585)</x:f>
        <x:v>0</x:v>
      </x:c>
      <x:c r="I82" s="95" t="s">
        <x:v>55</x:v>
      </x:c>
      <x:c r="J82" s="94" t="n">
        <x:f>SUM(J79:J81)</x:f>
        <x:v>0</x:v>
      </x:c>
    </x:row>
    <x:row r="83">
      <x:c r="D83" s="95">
        <x:v>18</x:v>
      </x:c>
      <x:c r="E83" s="96">
        <x:f t="shared" si="3"/>
        <x:v>0</x:v>
      </x:c>
      <x:c r="F83" s="95" t="n">
        <x:f>SUM(E83*0.75)</x:f>
        <x:v>0</x:v>
      </x:c>
    </x:row>
    <x:row r="84">
      <x:c r="D84" s="95">
        <x:v>21</x:v>
      </x:c>
      <x:c r="E84" s="96">
        <x:f t="shared" si="3"/>
        <x:v>0</x:v>
      </x:c>
      <x:c r="F84" s="95" t="n">
        <x:f>SUM(E84*0.875)</x:f>
        <x:v>0</x:v>
      </x:c>
    </x:row>
    <x:row r="85">
      <x:c r="D85" s="95">
        <x:v>21.6</x:v>
      </x:c>
      <x:c r="E85" s="96">
        <x:f t="shared" si="3"/>
        <x:v>0</x:v>
      </x:c>
      <x:c r="F85" s="95" t="n">
        <x:f>SUM(E85*0.9)</x:f>
        <x:v>0</x:v>
      </x:c>
      <x:c r="I85" s="52" t="n">
        <x:f>+F83-F82</x:f>
        <x:v>0</x:v>
      </x:c>
    </x:row>
    <x:row r="86">
      <x:c r="D86" s="95">
        <x:v>22</x:v>
      </x:c>
      <x:c r="E86" s="96">
        <x:f t="shared" si="3"/>
        <x:v>0</x:v>
      </x:c>
      <x:c r="F86" s="95" t="n">
        <x:f>SUM(E86*0.916)</x:f>
        <x:v>0</x:v>
      </x:c>
    </x:row>
    <x:row r="87">
      <x:c r="D87" s="95">
        <x:v>24</x:v>
      </x:c>
      <x:c r="E87" s="96">
        <x:f t="shared" si="3"/>
        <x:v>0</x:v>
      </x:c>
      <x:c r="F87" s="95" t="n">
        <x:f>SUM(E87*0.999)</x:f>
        <x:v>0</x:v>
      </x:c>
    </x:row>
    <x:row r="88">
      <x:c r="E88" s="95" t="s">
        <x:v>55</x:v>
      </x:c>
      <x:c r="F88" s="94" t="n">
        <x:f>SUM(F79:F87)</x:f>
        <x:v>0</x:v>
      </x:c>
    </x:row>
  </x:sheetData>
  <x:mergeCells>
    <x:mergeCell ref="C13:D13"/>
    <x:mergeCell ref="C14:D14"/>
  </x:mergeCells>
  <x:pageMargins left="0.7" right="0.7" top="0.75" bottom="0.75" header="0.3" footer="0.3"/>
  <x:drawing xmlns:r="http://schemas.openxmlformats.org/officeDocument/2006/relationships" r:id="R00898090e02f49b4"/>
</x:worksheet>
</file>

<file path=xl/worksheets/sheet2.xml><?xml version="1.0" encoding="utf-8"?>
<x:worksheet xmlns:x="http://schemas.openxmlformats.org/spreadsheetml/2006/main">
  <x:sheetFormatPr defaultColWidth="8.81640625" defaultRowHeight="14.5"/>
  <x:cols>
    <x:col min="1" max="1" width="4" customWidth="1"/>
    <x:col min="2" max="2" width="13" customWidth="1"/>
    <x:col min="3" max="3" width="15.26953125" customWidth="1"/>
    <x:col min="4" max="4" width="14.1796875" customWidth="1"/>
    <x:col min="5" max="5" width="14" customWidth="1"/>
    <x:col min="6" max="6" width="16.1796875" customWidth="1"/>
    <x:col min="7" max="7" width="12.81640625" customWidth="1"/>
  </x:cols>
  <x:sheetData>
    <x:row r="2">
      <x:c r="C2" s="26" t="n">
        <x:f ca="1">TODAY()</x:f>
        <x:v>46244</x:v>
      </x:c>
    </x:row>
    <x:row r="4">
      <x:c r="B4" s="19"/>
      <x:c r="C4" s="19"/>
      <x:c r="D4" s="19"/>
      <x:c r="E4" s="19"/>
      <x:c r="F4" s="19"/>
      <x:c r="G4" s="19"/>
    </x:row>
    <x:row r="5">
      <x:c r="C5" s="19"/>
      <x:c r="D5" s="19"/>
      <x:c r="E5" s="19"/>
      <x:c r="G5" s="19"/>
    </x:row>
    <x:row r="6" ht="18" customHeight="1">
      <x:c r="B6" s="19"/>
      <x:c r="C6" s="19"/>
      <x:c r="D6" s="19"/>
      <x:c r="E6" s="19"/>
      <x:c r="F6" s="19"/>
      <x:c r="G6" s="19"/>
    </x:row>
    <x:row r="7">
      <x:c r="B7" s="19"/>
      <x:c r="C7" s="19"/>
      <x:c r="D7" s="19"/>
      <x:c r="E7" s="24"/>
      <x:c r="G7" s="19"/>
    </x:row>
    <x:row r="8">
      <x:c r="B8" s="19"/>
      <x:c r="C8" s="19"/>
      <x:c r="D8" s="19"/>
      <x:c r="E8" s="19"/>
      <x:c r="G8" s="19"/>
    </x:row>
    <x:row r="9" ht="18.5">
      <x:c r="B9" s="19"/>
      <x:c r="C9" s="19"/>
      <x:c r="D9" s="22" t="s">
        <x:v>56</x:v>
      </x:c>
      <x:c r="E9" s="21"/>
      <x:c r="F9" s="28"/>
      <x:c r="G9" s="19"/>
    </x:row>
    <x:row r="10" ht="18.5">
      <x:c r="B10" s="19"/>
      <x:c r="C10" s="19"/>
      <x:c r="D10" s="22"/>
      <x:c r="E10" s="21"/>
      <x:c r="F10" s="28"/>
      <x:c r="G10" s="19"/>
    </x:row>
    <x:row r="11">
      <x:c r="B11" s="19" t="s">
        <x:v>57</x:v>
      </x:c>
      <x:c r="C11" s="19"/>
      <x:c r="D11" s="19"/>
      <x:c r="E11" s="19" t="s">
        <x:v>58</x:v>
      </x:c>
      <x:c r="G11" s="19"/>
    </x:row>
    <x:row r="12">
      <x:c r="B12" s="19"/>
      <x:c r="C12" s="19"/>
      <x:c r="D12" s="19"/>
      <x:c r="E12" t="s">
        <x:v>59</x:v>
      </x:c>
      <x:c r="G12" s="19"/>
    </x:row>
    <x:row r="13">
      <x:c r="B13" s="19"/>
      <x:c r="C13" s="19"/>
      <x:c r="D13" s="19"/>
      <x:c r="E13" t="s">
        <x:v>60</x:v>
      </x:c>
      <x:c r="G13" s="19"/>
    </x:row>
    <x:row r="14">
      <x:c r="B14" s="19"/>
      <x:c r="C14" s="19"/>
      <x:c r="D14" s="19"/>
      <x:c r="E14" s="19" t="s">
        <x:v>61</x:v>
      </x:c>
      <x:c r="F14" s="19">
        <x:v>34093083</x:v>
      </x:c>
      <x:c r="G14" s="19"/>
    </x:row>
    <x:row r="15">
      <x:c r="B15" s="19"/>
      <x:c r="C15" s="19"/>
      <x:c r="D15" s="19"/>
      <x:c r="E15" s="19" t="s">
        <x:v>62</x:v>
      </x:c>
      <x:c r="F15" s="40" t="n">
        <x:f>'Variable værdier'!D14</x:f>
        <x:v>1001</x:v>
      </x:c>
      <x:c r="G15" s="19"/>
    </x:row>
    <x:row r="16" ht="18" customHeight="1">
      <x:c r="B16" s="19"/>
      <x:c r="C16" s="19"/>
      <x:c r="D16" s="19"/>
      <x:c r="E16" s="19" t="s">
        <x:v>63</x:v>
      </x:c>
      <x:c r="F16" s="24">
        <x:v>41257</x:v>
      </x:c>
      <x:c r="G16" s="19"/>
    </x:row>
    <x:row r="17">
      <x:c r="B17" s="19"/>
      <x:c r="C17" s="19"/>
      <x:c r="D17" s="19"/>
      <x:c r="E17" s="19" t="s">
        <x:v>16</x:v>
      </x:c>
      <x:c r="F17" s="19"/>
      <x:c r="G17" s="19"/>
    </x:row>
    <x:row r="18">
      <x:c r="B18" s="19"/>
      <x:c r="C18" s="19"/>
      <x:c r="D18" s="19"/>
      <x:c r="E18" s="19" t="s">
        <x:v>64</x:v>
      </x:c>
      <x:c r="F18" t="s">
        <x:v>65</x:v>
      </x:c>
      <x:c r="G18" s="19"/>
    </x:row>
    <x:row r="19">
      <x:c r="C19" s="19"/>
      <x:c r="D19" s="19"/>
      <x:c r="E19" s="19" t="s">
        <x:v>66</x:v>
      </x:c>
      <x:c r="F19" s="30" t="s">
        <x:v>67</x:v>
      </x:c>
      <x:c r="G19" s="19"/>
    </x:row>
    <x:row r="20" ht="22.5">
      <x:c r="B20" s="29" t="s">
        <x:v>68</x:v>
      </x:c>
      <x:c r="C20" s="27"/>
      <x:c r="D20" s="19"/>
      <x:c r="E20" s="19" t="s">
        <x:v>69</x:v>
      </x:c>
      <x:c r="F20" s="30" t="s">
        <x:v>70</x:v>
      </x:c>
      <x:c r="G20" s="19"/>
    </x:row>
    <x:row r="21" ht="18.5">
      <x:c r="B21" s="19"/>
      <x:c r="C21" s="27"/>
      <x:c r="D21" s="19"/>
      <x:c r="E21" s="19"/>
      <x:c r="G21" s="19"/>
    </x:row>
    <x:row r="22" ht="18.5">
      <x:c r="B22" s="19"/>
      <x:c r="C22" s="27"/>
      <x:c r="D22" s="19"/>
      <x:c r="E22" s="19"/>
      <x:c r="G22" s="19"/>
    </x:row>
    <x:row r="23">
      <x:c r="B23" s="19"/>
      <x:c r="C23" s="19"/>
      <x:c r="D23" s="19"/>
      <x:c r="E23" s="19"/>
      <x:c r="F23" s="19"/>
      <x:c r="G23" s="19"/>
    </x:row>
    <x:row r="24" s="1" customFormat="1">
      <x:c r="B24" s="10" t="s">
        <x:v>20</x:v>
      </x:c>
      <x:c r="C24" s="11"/>
      <x:c r="D24" s="11" t="s">
        <x:v>22</x:v>
      </x:c>
      <x:c r="E24" s="11"/>
      <x:c r="F24" s="11" t="s">
        <x:v>24</x:v>
      </x:c>
      <x:c r="G24" s="12" t="s">
        <x:v>25</x:v>
      </x:c>
    </x:row>
    <x:row r="25">
      <x:c r="A25" s="19"/>
      <x:c r="B25" s="47"/>
      <x:c r="C25" s="38"/>
      <x:c r="D25" s="48"/>
      <x:c r="E25" s="38"/>
      <x:c r="F25" s="48"/>
      <x:c r="G25" s="49"/>
    </x:row>
    <x:row r="26">
      <x:c r="A26" s="19"/>
      <x:c r="B26" s="46" t="str">
        <x:f>IF(A26,VLOOKUP(A26,'Variable værdier'!$A$4:$B$12,2,3),"")</x:f>
      </x:c>
      <x:c r="C26" s="19"/>
      <x:c r="D26" s="5" t="n">
        <x:f>IF(A26,IF(A26=1,IF(C26=14,585,CEILING((C26/24)*999,1)),IF(C26,C26,VLOOKUP(A26,'Variable værdier'!$A$4:$D$12,4))),0)</x:f>
        <x:v>0</x:v>
      </x:c>
      <x:c r="E26" s="17"/>
      <x:c r="F26" s="6" t="n">
        <x:f>ROUND(IF(A26=1,('Variable værdier'!$C$4*'Faktura guld og sølv'!C26/24),IF(A26,'Variable værdier'!$C$5*'Faktura guld og sølv'!D26/'Variable værdier'!$D$5)),2)</x:f>
        <x:v>0</x:v>
      </x:c>
      <x:c r="G26" s="7" t="n">
        <x:f>ROUND(E26*F26,2)</x:f>
        <x:v>0</x:v>
      </x:c>
    </x:row>
    <x:row r="27">
      <x:c r="A27" s="19"/>
      <x:c r="B27" s="46" t="str">
        <x:f>IF(A27,VLOOKUP(A27,'Variable værdier'!$A$4:$B$12,2,3),"")</x:f>
      </x:c>
      <x:c r="C27" s="19"/>
      <x:c r="D27" s="5" t="n">
        <x:f>IF(A27,IF(A27=1,IF(C27=14,585,CEILING((C27/24)*999,1)),IF(C27,C27,VLOOKUP(A27,'Variable værdier'!$A$4:$D$12,4))),0)</x:f>
        <x:v>0</x:v>
      </x:c>
      <x:c r="E27" s="17"/>
      <x:c r="F27" s="6" t="n">
        <x:f>ROUND(IF(A27=1,('Variable værdier'!$C$4*'Faktura guld og sølv'!C27/24),IF(A27,'Variable værdier'!$C$5*'Faktura guld og sølv'!D27/'Variable værdier'!$D$5)),2)</x:f>
        <x:v>0</x:v>
      </x:c>
      <x:c r="G27" s="7" t="n">
        <x:f t="shared" ref="G27:G37" si="0">ROUND(E27*F27,2)</x:f>
        <x:v>0</x:v>
      </x:c>
    </x:row>
    <x:row r="28">
      <x:c r="A28" s="19"/>
      <x:c r="B28" s="46" t="str">
        <x:f>IF(A28,VLOOKUP(A28,'Variable værdier'!$A$4:$B$12,2,3),"")</x:f>
      </x:c>
      <x:c r="C28" s="19"/>
      <x:c r="D28" s="5" t="n">
        <x:f>IF(A28,IF(A28=1,IF(C28=14,585,CEILING((C28/24)*999,1)),IF(C28,C28,VLOOKUP(A28,'Variable værdier'!$A$4:$D$12,4))),0)</x:f>
        <x:v>0</x:v>
      </x:c>
      <x:c r="E28" s="17"/>
      <x:c r="F28" s="6" t="n">
        <x:f>ROUND(IF(A28=1,('Variable værdier'!$C$4*'Faktura guld og sølv'!C28/24),IF(A28,'Variable værdier'!$C$5*'Faktura guld og sølv'!D28/'Variable værdier'!$D$5)),2)</x:f>
        <x:v>0</x:v>
      </x:c>
      <x:c r="G28" s="7">
        <x:f t="shared" si="0"/>
        <x:v>0</x:v>
      </x:c>
    </x:row>
    <x:row r="29">
      <x:c r="A29" s="19"/>
      <x:c r="B29" s="46" t="str">
        <x:f>IF(A29,VLOOKUP(A29,'Variable værdier'!$A$4:$B$12,2,3),"")</x:f>
      </x:c>
      <x:c r="C29" s="19"/>
      <x:c r="D29" s="5" t="n">
        <x:f>IF(A29,IF(A29=1,IF(C29=14,585,CEILING((C29/24)*999,1)),IF(C29,C29,VLOOKUP(A29,'Variable værdier'!$A$4:$D$12,4))),0)</x:f>
        <x:v>0</x:v>
      </x:c>
      <x:c r="E29" s="17"/>
      <x:c r="F29" s="6" t="n">
        <x:f>ROUND(IF(A29=1,('Variable værdier'!$C$4*'Faktura guld og sølv'!C29/24),IF(A29,'Variable værdier'!$C$5*'Faktura guld og sølv'!D29/'Variable værdier'!$D$5)),2)</x:f>
        <x:v>0</x:v>
      </x:c>
      <x:c r="G29" s="7">
        <x:f t="shared" si="0"/>
        <x:v>0</x:v>
      </x:c>
    </x:row>
    <x:row r="30">
      <x:c r="A30" s="19"/>
      <x:c r="B30" s="46" t="str">
        <x:f>IF(A30,VLOOKUP(A30,'Variable værdier'!$A$4:$B$12,2,3),"")</x:f>
      </x:c>
      <x:c r="C30" s="19"/>
      <x:c r="D30" s="5" t="n">
        <x:f>IF(A30,IF(A30=1,IF(C30=14,585,CEILING((C30/24)*999,1)),IF(C30,C30,VLOOKUP(A30,'Variable værdier'!$A$4:$D$12,4))),0)</x:f>
        <x:v>0</x:v>
      </x:c>
      <x:c r="E30" s="17"/>
      <x:c r="F30" s="6" t="n">
        <x:f>ROUND(IF(A30=1,('Variable værdier'!$C$4*'Faktura guld og sølv'!C30/24),IF(A30,'Variable værdier'!$C$5*'Faktura guld og sølv'!D30/'Variable værdier'!$D$5)),2)</x:f>
        <x:v>0</x:v>
      </x:c>
      <x:c r="G30" s="7">
        <x:f t="shared" si="0"/>
        <x:v>0</x:v>
      </x:c>
    </x:row>
    <x:row r="31">
      <x:c r="A31" s="19"/>
      <x:c r="B31" s="46" t="str">
        <x:f>IF(A31,VLOOKUP(A31,'Variable værdier'!$A$4:$B$12,2,3),"")</x:f>
      </x:c>
      <x:c r="C31" s="19"/>
      <x:c r="D31" s="5" t="n">
        <x:f>IF(A31,IF(A31=1,IF(C31=14,585,CEILING((C31/24)*999,1)),IF(C31,C31,VLOOKUP(A31,'Variable værdier'!$A$4:$D$12,4))),0)</x:f>
        <x:v>0</x:v>
      </x:c>
      <x:c r="E31" s="17"/>
      <x:c r="F31" s="6" t="n">
        <x:f>ROUND(IF(A31=1,('Variable værdier'!$C$4*'Faktura guld og sølv'!C31/24),IF(A31,'Variable værdier'!$C$5*'Faktura guld og sølv'!D31/'Variable værdier'!$D$5)),2)</x:f>
        <x:v>0</x:v>
      </x:c>
      <x:c r="G31" s="7">
        <x:f t="shared" si="0"/>
        <x:v>0</x:v>
      </x:c>
    </x:row>
    <x:row r="32">
      <x:c r="A32" s="19"/>
      <x:c r="B32" s="46" t="str">
        <x:f>IF(A32,VLOOKUP(A32,'Variable værdier'!$A$4:$B$12,2,3),"")</x:f>
      </x:c>
      <x:c r="C32" s="19"/>
      <x:c r="D32" s="5" t="n">
        <x:f>IF(A32,IF(A32=1,IF(C32=14,585,CEILING((C32/24)*999,1)),IF(C32,C32,VLOOKUP(A32,'Variable værdier'!$A$4:$D$12,4))),0)</x:f>
        <x:v>0</x:v>
      </x:c>
      <x:c r="E32" s="17"/>
      <x:c r="F32" s="6" t="n">
        <x:f>ROUND(IF(A32=1,('Variable værdier'!$C$4*'Faktura guld og sølv'!C32/24),IF(A32,'Variable værdier'!$C$5*'Faktura guld og sølv'!D32/'Variable værdier'!$D$5)),2)</x:f>
        <x:v>0</x:v>
      </x:c>
      <x:c r="G32" s="7">
        <x:f t="shared" si="0"/>
        <x:v>0</x:v>
      </x:c>
    </x:row>
    <x:row r="33">
      <x:c r="A33" s="19"/>
      <x:c r="B33" s="46" t="str">
        <x:f>IF(A33,VLOOKUP(A33,'Variable værdier'!$A$4:$B$12,2,3),"")</x:f>
      </x:c>
      <x:c r="C33" s="19"/>
      <x:c r="D33" s="5" t="n">
        <x:f>IF(A33,IF(A33=1,IF(C33=14,585,CEILING((C33/24)*999,1)),IF(C33,C33,VLOOKUP(A33,'Variable værdier'!$A$4:$D$12,4))),0)</x:f>
        <x:v>0</x:v>
      </x:c>
      <x:c r="E33" s="17"/>
      <x:c r="F33" s="6" t="n">
        <x:f>ROUND(IF(A33=1,('Variable værdier'!$C$4*'Faktura guld og sølv'!C33/24),IF(A33,'Variable værdier'!$C$5*'Faktura guld og sølv'!D33/'Variable værdier'!$D$5)),2)</x:f>
        <x:v>0</x:v>
      </x:c>
      <x:c r="G33" s="7">
        <x:f t="shared" si="0"/>
        <x:v>0</x:v>
      </x:c>
    </x:row>
    <x:row r="34">
      <x:c r="A34" s="19"/>
      <x:c r="B34" s="46" t="str">
        <x:f>IF(A34,VLOOKUP(A34,'Variable værdier'!$A$4:$B$12,2,3),"")</x:f>
      </x:c>
      <x:c r="C34" s="19"/>
      <x:c r="D34" s="5" t="n">
        <x:f>IF(A34,IF(A34=1,IF(C34=14,585,CEILING((C34/24)*999,1)),IF(C34,C34,VLOOKUP(A34,'Variable værdier'!$A$4:$D$12,4))),0)</x:f>
        <x:v>0</x:v>
      </x:c>
      <x:c r="E34" s="17"/>
      <x:c r="F34" s="6" t="n">
        <x:f>ROUND(IF(A34=1,('Variable værdier'!$C$4*'Faktura guld og sølv'!C34/24),IF(A34,'Variable værdier'!$C$5*'Faktura guld og sølv'!D34/'Variable værdier'!$D$5)),2)</x:f>
        <x:v>0</x:v>
      </x:c>
      <x:c r="G34" s="7">
        <x:f t="shared" si="0"/>
        <x:v>0</x:v>
      </x:c>
    </x:row>
    <x:row r="35">
      <x:c r="A35" s="19"/>
      <x:c r="B35" s="46" t="str">
        <x:f>IF(A35,VLOOKUP(A35,'Variable værdier'!$A$4:$B$12,2,3),"")</x:f>
      </x:c>
      <x:c r="C35" s="19"/>
      <x:c r="D35" s="5" t="n">
        <x:f>IF(A35,IF(A35=1,IF(C35=14,585,CEILING((C35/24)*999,1)),IF(C35,C35,VLOOKUP(A35,'Variable værdier'!$A$4:$D$12,4))),0)</x:f>
        <x:v>0</x:v>
      </x:c>
      <x:c r="E35" s="17"/>
      <x:c r="F35" s="6" t="n">
        <x:f>ROUND(IF(A35=1,('Variable værdier'!$C$4*'Faktura guld og sølv'!C35/24),IF(A35,'Variable værdier'!$C$5*'Faktura guld og sølv'!D35/'Variable værdier'!$D$5)),2)</x:f>
        <x:v>0</x:v>
      </x:c>
      <x:c r="G35" s="7">
        <x:f t="shared" si="0"/>
        <x:v>0</x:v>
      </x:c>
    </x:row>
    <x:row r="36">
      <x:c r="A36" s="19"/>
      <x:c r="B36" s="46" t="str">
        <x:f>IF(A36,VLOOKUP(A36,'Variable værdier'!$A$4:$B$12,2,3),"")</x:f>
      </x:c>
      <x:c r="C36" s="19"/>
      <x:c r="D36" s="5" t="n">
        <x:f>IF(A36,IF(A36=1,IF(C36=14,585,CEILING((C36/24)*999,1)),IF(C36,C36,VLOOKUP(A36,'Variable værdier'!$A$4:$D$12,4))),0)</x:f>
        <x:v>0</x:v>
      </x:c>
      <x:c r="E36" s="17"/>
      <x:c r="F36" s="6" t="n">
        <x:f>ROUND(IF(A36=1,('Variable værdier'!$C$4*'Faktura guld og sølv'!C36/24),IF(A36,'Variable værdier'!$C$5*'Faktura guld og sølv'!D36/'Variable værdier'!$D$5)),2)</x:f>
        <x:v>0</x:v>
      </x:c>
      <x:c r="G36" s="7">
        <x:f t="shared" si="0"/>
        <x:v>0</x:v>
      </x:c>
    </x:row>
    <x:row r="37">
      <x:c r="A37" s="19"/>
      <x:c r="B37" s="46" t="str">
        <x:f>IF(A37,VLOOKUP(A37,'Variable værdier'!$A$4:$B$12,2,3),"")</x:f>
      </x:c>
      <x:c r="C37" s="19"/>
      <x:c r="D37" s="5" t="n">
        <x:f>IF(A37,IF(A37=1,IF(C37=14,585,CEILING((C37/24)*999,1)),IF(C37,C37,VLOOKUP(A37,'Variable værdier'!$A$4:$D$12,4))),0)</x:f>
        <x:v>0</x:v>
      </x:c>
      <x:c r="E37" s="17"/>
      <x:c r="F37" s="6" t="n">
        <x:f>ROUND(IF(A37=1,('Variable værdier'!$C$4*'Faktura guld og sølv'!C37/24),IF(A37,'Variable værdier'!$C$5*'Faktura guld og sølv'!D37/'Variable værdier'!$D$5)),2)</x:f>
        <x:v>0</x:v>
      </x:c>
      <x:c r="G37" s="7">
        <x:f t="shared" si="0"/>
        <x:v>0</x:v>
      </x:c>
    </x:row>
    <x:row r="38">
      <x:c r="A38" s="19"/>
      <x:c r="B38" s="18"/>
      <x:c r="C38" s="19"/>
      <x:c r="D38" s="19"/>
      <x:c r="E38" s="19"/>
      <x:c r="F38" s="19"/>
      <x:c r="G38" s="50"/>
    </x:row>
    <x:row r="39">
      <x:c r="A39" s="19"/>
      <x:c r="B39" s="18"/>
      <x:c r="C39" s="19"/>
      <x:c r="D39" s="19"/>
      <x:c r="E39" s="19"/>
      <x:c r="F39" s="19"/>
      <x:c r="G39" s="50"/>
    </x:row>
    <x:row r="40">
      <x:c r="A40" s="19"/>
      <x:c r="B40" s="18"/>
      <x:c r="C40" s="35"/>
      <x:c r="D40" s="19"/>
      <x:c r="E40" s="35"/>
      <x:c r="F40" s="19"/>
      <x:c r="G40" s="50"/>
    </x:row>
    <x:row r="41" ht="15">
      <x:c r="B41" s="13" t="s">
        <x:v>25</x:v>
      </x:c>
      <x:c r="C41" s="14"/>
      <x:c r="D41" s="14"/>
      <x:c r="E41" s="25" t="n">
        <x:f>SUM(E26:E40)</x:f>
        <x:v>0</x:v>
      </x:c>
      <x:c r="F41" s="14"/>
      <x:c r="G41" s="8" t="n">
        <x:f>SUM(G26:G40)</x:f>
        <x:v>0</x:v>
      </x:c>
    </x:row>
    <x:row r="42" ht="15">
      <x:c r="F42" s="2"/>
      <x:c r="G42" s="6"/>
    </x:row>
    <x:row r="43">
      <x:c r="F43" s="2"/>
      <x:c r="G43" s="6"/>
    </x:row>
    <x:row r="44" ht="18.75" customHeight="1">
      <x:c r="B44" s="20"/>
      <x:c r="C44" s="19"/>
      <x:c r="D44" s="19"/>
      <x:c r="E44" s="19"/>
      <x:c r="F44" s="2" t="s">
        <x:v>33</x:v>
      </x:c>
      <x:c r="G44" s="6" t="n">
        <x:f>G41</x:f>
        <x:v>0</x:v>
      </x:c>
    </x:row>
    <x:row r="45" ht="18.75" customHeight="1">
      <x:c r="B45" s="20"/>
      <x:c r="C45" s="19"/>
      <x:c r="D45" s="19"/>
      <x:c r="E45" s="19"/>
      <x:c r="F45" s="2"/>
      <x:c r="G45" s="6"/>
    </x:row>
    <x:row r="46" ht="18.75" customHeight="1">
      <x:c r="A46" s="19">
        <x:v>1</x:v>
      </x:c>
      <x:c r="B46" s="20"/>
      <x:c r="C46" s="19"/>
      <x:c r="D46" s="19"/>
      <x:c r="E46" s="19"/>
      <x:c r="F46" s="2" t="s">
        <x:v>36</x:v>
      </x:c>
      <x:c r="G46" s="23" t="n">
        <x:f>IF(A46,ROUND(G44*25%,2),0)</x:f>
        <x:v>0</x:v>
      </x:c>
    </x:row>
    <x:row r="47" ht="18.75" customHeight="1">
      <x:c r="B47" s="20"/>
      <x:c r="C47" s="19"/>
      <x:c r="D47" s="19"/>
      <x:c r="E47" s="19"/>
      <x:c r="F47" s="15" t="s">
        <x:v>25</x:v>
      </x:c>
      <x:c r="G47" s="9" t="n">
        <x:f>SUM(G44:G46)</x:f>
        <x:v>0</x:v>
      </x:c>
    </x:row>
    <x:row r="48" ht="15">
      <x:c r="B48" s="19"/>
      <x:c r="C48" s="19"/>
      <x:c r="D48" s="19"/>
      <x:c r="E48" s="19"/>
      <x:c r="F48" s="2"/>
      <x:c r="G48" s="2"/>
    </x:row>
    <x:row r="49">
      <x:c r="F49" s="2"/>
      <x:c r="G49" s="2"/>
    </x:row>
    <x:row r="50">
      <x:c r="B50" s="16"/>
      <x:c r="G50" s="2"/>
    </x:row>
    <x:row r="51">
      <x:c r="B51" s="16"/>
      <x:c r="G51" s="2"/>
    </x:row>
    <x:row r="52">
      <x:c r="G52" s="2"/>
    </x:row>
    <x:row r="53">
      <x:c r="G53" s="2"/>
    </x:row>
  </x:sheetData>
  <x:hyperlinks>
    <x:hyperlink xmlns:r="http://schemas.openxmlformats.org/officeDocument/2006/relationships" ref="F19" r:id="R1dc93750d748400e"/>
    <x:hyperlink xmlns:r="http://schemas.openxmlformats.org/officeDocument/2006/relationships" ref="F20" r:id="R2f3bad94e2dd431b"/>
  </x:hyperlinks>
  <x:pageMargins left="0.7" right="0.7" top="0.75" bottom="0.75" header="0.3" footer="0.3"/>
  <x:drawing xmlns:r="http://schemas.openxmlformats.org/officeDocument/2006/relationships" r:id="R0698ec90fe3a4764"/>
</x:worksheet>
</file>

<file path=xl/worksheets/sheet3.xml><?xml version="1.0" encoding="utf-8"?>
<x:worksheet xmlns:x="http://schemas.openxmlformats.org/spreadsheetml/2006/main">
  <x:sheetFormatPr defaultColWidth="8.81640625" defaultRowHeight="14.5"/>
  <x:cols>
    <x:col min="1" max="1" width="4" customWidth="1"/>
    <x:col min="2" max="2" width="13" customWidth="1"/>
    <x:col min="3" max="3" width="15.26953125" customWidth="1"/>
    <x:col min="4" max="4" width="14.1796875" customWidth="1"/>
    <x:col min="5" max="5" width="14" customWidth="1"/>
    <x:col min="6" max="6" width="16.1796875" customWidth="1"/>
    <x:col min="7" max="7" width="12.81640625" customWidth="1"/>
  </x:cols>
  <x:sheetData>
    <x:row r="2">
      <x:c r="C2" s="26" t="n">
        <x:f ca="1">TODAY()</x:f>
        <x:v>46244</x:v>
      </x:c>
    </x:row>
    <x:row r="4">
      <x:c r="B4" s="19"/>
      <x:c r="C4" s="19"/>
      <x:c r="D4" s="19"/>
      <x:c r="E4" s="19"/>
      <x:c r="F4" s="19"/>
      <x:c r="G4" s="19"/>
    </x:row>
    <x:row r="5">
      <x:c r="C5" s="19"/>
      <x:c r="D5" s="19"/>
      <x:c r="E5" s="19"/>
      <x:c r="G5" s="19"/>
    </x:row>
    <x:row r="6" ht="18" customHeight="1">
      <x:c r="B6" s="19"/>
      <x:c r="C6" s="19"/>
      <x:c r="D6" s="19"/>
      <x:c r="E6" s="19"/>
      <x:c r="F6" s="19"/>
      <x:c r="G6" s="19"/>
    </x:row>
    <x:row r="7">
      <x:c r="B7" s="19"/>
      <x:c r="C7" s="19"/>
      <x:c r="D7" s="19"/>
      <x:c r="E7" s="24"/>
      <x:c r="G7" s="19"/>
    </x:row>
    <x:row r="8">
      <x:c r="B8" s="19"/>
      <x:c r="C8" s="19"/>
      <x:c r="D8" s="19"/>
      <x:c r="E8" s="19"/>
      <x:c r="G8" s="19"/>
    </x:row>
    <x:row r="9">
      <x:c r="B9" s="19"/>
      <x:c r="C9" s="19"/>
      <x:c r="D9" s="19"/>
      <x:c r="E9" s="19"/>
      <x:c r="G9" s="19"/>
    </x:row>
    <x:row r="10">
      <x:c r="B10" s="31"/>
      <x:c r="C10" s="19"/>
      <x:c r="D10" s="19"/>
      <x:c r="E10" s="19" t="s">
        <x:v>58</x:v>
      </x:c>
      <x:c r="G10" s="19"/>
    </x:row>
    <x:row r="11">
      <x:c r="B11" s="19"/>
      <x:c r="C11" s="19"/>
      <x:c r="D11" s="19"/>
      <x:c r="E11" t="s">
        <x:v>59</x:v>
      </x:c>
      <x:c r="G11" s="19"/>
    </x:row>
    <x:row r="12">
      <x:c r="B12" s="19"/>
      <x:c r="C12" s="19"/>
      <x:c r="D12" s="19"/>
      <x:c r="E12" t="s">
        <x:v>60</x:v>
      </x:c>
      <x:c r="G12" s="19"/>
    </x:row>
    <x:row r="13">
      <x:c r="B13" s="19"/>
      <x:c r="C13" s="19"/>
      <x:c r="D13" s="19"/>
      <x:c r="E13" s="19" t="s">
        <x:v>61</x:v>
      </x:c>
      <x:c r="F13" s="19">
        <x:v>34093083</x:v>
      </x:c>
      <x:c r="G13" s="19"/>
    </x:row>
    <x:row r="14">
      <x:c r="B14" s="19"/>
      <x:c r="C14" s="19"/>
      <x:c r="D14" s="19"/>
      <x:c r="E14" s="19" t="s">
        <x:v>62</x:v>
      </x:c>
      <x:c r="F14" s="40" t="n">
        <x:f>'Variable værdier'!D14</x:f>
        <x:v>1001</x:v>
      </x:c>
      <x:c r="G14" s="19"/>
    </x:row>
    <x:row r="15" ht="18" customHeight="1">
      <x:c r="B15" s="19"/>
      <x:c r="C15" s="19"/>
      <x:c r="D15" s="19"/>
      <x:c r="E15" s="19" t="s">
        <x:v>63</x:v>
      </x:c>
      <x:c r="F15" s="24">
        <x:v>41257</x:v>
      </x:c>
      <x:c r="G15" s="19"/>
    </x:row>
    <x:row r="16">
      <x:c r="B16" s="19"/>
      <x:c r="C16" s="19"/>
      <x:c r="D16" s="19"/>
      <x:c r="E16" s="19" t="s">
        <x:v>16</x:v>
      </x:c>
      <x:c r="F16" s="19"/>
      <x:c r="G16" s="19"/>
    </x:row>
    <x:row r="17">
      <x:c r="B17" s="19"/>
      <x:c r="C17" s="19"/>
      <x:c r="D17" s="19"/>
      <x:c r="E17" s="19" t="s">
        <x:v>64</x:v>
      </x:c>
      <x:c r="F17" t="s">
        <x:v>65</x:v>
      </x:c>
      <x:c r="G17" s="19"/>
    </x:row>
    <x:row r="18">
      <x:c r="C18" s="19"/>
      <x:c r="D18" s="19"/>
      <x:c r="E18" s="19" t="s">
        <x:v>66</x:v>
      </x:c>
      <x:c r="F18" s="30" t="s">
        <x:v>67</x:v>
      </x:c>
      <x:c r="G18" s="19"/>
    </x:row>
    <x:row r="19" ht="22.5">
      <x:c r="B19" s="29" t="s">
        <x:v>68</x:v>
      </x:c>
      <x:c r="C19" s="27"/>
      <x:c r="D19" s="19"/>
      <x:c r="E19" s="19" t="s">
        <x:v>69</x:v>
      </x:c>
      <x:c r="F19" s="30" t="s">
        <x:v>70</x:v>
      </x:c>
      <x:c r="G19" s="19"/>
    </x:row>
    <x:row r="20" ht="18.5">
      <x:c r="B20" s="19"/>
      <x:c r="C20" s="27"/>
      <x:c r="D20" s="19"/>
      <x:c r="E20" s="19"/>
      <x:c r="G20" s="19"/>
    </x:row>
    <x:row r="21" ht="18.5">
      <x:c r="B21" s="19"/>
      <x:c r="C21" s="27"/>
      <x:c r="D21" s="19"/>
      <x:c r="E21" s="19"/>
      <x:c r="G21" s="19"/>
    </x:row>
    <x:row r="22">
      <x:c r="B22" s="19"/>
      <x:c r="C22" s="35"/>
      <x:c r="D22" s="19"/>
      <x:c r="E22" s="19"/>
      <x:c r="F22" s="19"/>
      <x:c r="G22" s="19"/>
    </x:row>
    <x:row r="23" s="1" customFormat="1">
      <x:c r="B23" s="32"/>
      <x:c r="C23" s="33" t="s">
        <x:v>71</x:v>
      </x:c>
      <x:c r="D23" s="34"/>
      <x:c r="E23" s="11" t="s">
        <x:v>72</x:v>
      </x:c>
      <x:c r="F23" s="11" t="s">
        <x:v>73</x:v>
      </x:c>
      <x:c r="G23" s="12" t="s">
        <x:v>25</x:v>
      </x:c>
    </x:row>
    <x:row r="24">
      <x:c r="B24" s="37"/>
      <x:c r="C24" s="38"/>
      <x:c r="D24" s="38"/>
      <x:c r="E24" s="38"/>
      <x:c r="F24" s="38"/>
      <x:c r="G24" s="49"/>
    </x:row>
    <x:row r="25">
      <x:c r="A25" s="19"/>
      <x:c r="B25" s="18"/>
      <x:c r="C25" s="19"/>
      <x:c r="D25" s="19"/>
      <x:c r="E25" s="17"/>
      <x:c r="F25" s="17"/>
      <x:c r="G25" s="7" t="n">
        <x:f>ROUND(IF(E25,E25,1)*F25,2)</x:f>
        <x:v>0</x:v>
      </x:c>
    </x:row>
    <x:row r="26">
      <x:c r="A26" s="19"/>
      <x:c r="B26" s="18"/>
      <x:c r="C26" s="19"/>
      <x:c r="D26" s="19"/>
      <x:c r="E26" s="17"/>
      <x:c r="F26" s="17"/>
      <x:c r="G26" s="7" t="n">
        <x:f t="shared" ref="G26:G39" si="0">ROUND(IF(E26,E26,1)*F26,2)</x:f>
        <x:v>0</x:v>
      </x:c>
    </x:row>
    <x:row r="27">
      <x:c r="A27" s="19"/>
      <x:c r="B27" s="18"/>
      <x:c r="C27" s="19"/>
      <x:c r="D27" s="19"/>
      <x:c r="E27" s="17"/>
      <x:c r="F27" s="17"/>
      <x:c r="G27" s="7">
        <x:f t="shared" si="0"/>
        <x:v>0</x:v>
      </x:c>
    </x:row>
    <x:row r="28">
      <x:c r="A28" s="19"/>
      <x:c r="B28" s="18"/>
      <x:c r="C28" s="19"/>
      <x:c r="D28" s="19"/>
      <x:c r="E28" s="17"/>
      <x:c r="F28" s="17"/>
      <x:c r="G28" s="7">
        <x:f t="shared" si="0"/>
        <x:v>0</x:v>
      </x:c>
    </x:row>
    <x:row r="29">
      <x:c r="A29" s="19"/>
      <x:c r="B29" s="18"/>
      <x:c r="C29" s="19"/>
      <x:c r="D29" s="19"/>
      <x:c r="E29" s="17"/>
      <x:c r="F29" s="17"/>
      <x:c r="G29" s="7">
        <x:f t="shared" si="0"/>
        <x:v>0</x:v>
      </x:c>
    </x:row>
    <x:row r="30">
      <x:c r="A30" s="19"/>
      <x:c r="B30" s="18"/>
      <x:c r="C30" s="19"/>
      <x:c r="D30" s="19"/>
      <x:c r="E30" s="17"/>
      <x:c r="F30" s="17"/>
      <x:c r="G30" s="7">
        <x:f t="shared" si="0"/>
        <x:v>0</x:v>
      </x:c>
    </x:row>
    <x:row r="31">
      <x:c r="A31" s="19"/>
      <x:c r="B31" s="18"/>
      <x:c r="C31" s="19"/>
      <x:c r="D31" s="19"/>
      <x:c r="E31" s="17"/>
      <x:c r="F31" s="17"/>
      <x:c r="G31" s="7">
        <x:f t="shared" si="0"/>
        <x:v>0</x:v>
      </x:c>
    </x:row>
    <x:row r="32">
      <x:c r="B32" s="18"/>
      <x:c r="C32" s="19"/>
      <x:c r="D32" s="19"/>
      <x:c r="E32" s="17"/>
      <x:c r="F32" s="17"/>
      <x:c r="G32" s="7">
        <x:f t="shared" si="0"/>
        <x:v>0</x:v>
      </x:c>
    </x:row>
    <x:row r="33">
      <x:c r="B33" s="18"/>
      <x:c r="C33" s="19"/>
      <x:c r="D33" s="19"/>
      <x:c r="E33" s="17"/>
      <x:c r="F33" s="17"/>
      <x:c r="G33" s="7">
        <x:f t="shared" si="0"/>
        <x:v>0</x:v>
      </x:c>
    </x:row>
    <x:row r="34">
      <x:c r="B34" s="18"/>
      <x:c r="C34" s="19"/>
      <x:c r="D34" s="19"/>
      <x:c r="E34" s="17"/>
      <x:c r="F34" s="17"/>
      <x:c r="G34" s="7">
        <x:f t="shared" si="0"/>
        <x:v>0</x:v>
      </x:c>
    </x:row>
    <x:row r="35">
      <x:c r="B35" s="18"/>
      <x:c r="C35" s="19"/>
      <x:c r="D35" s="19"/>
      <x:c r="E35" s="17"/>
      <x:c r="F35" s="17"/>
      <x:c r="G35" s="7">
        <x:f t="shared" si="0"/>
        <x:v>0</x:v>
      </x:c>
    </x:row>
    <x:row r="36">
      <x:c r="B36" s="18"/>
      <x:c r="C36" s="19"/>
      <x:c r="D36" s="19"/>
      <x:c r="E36" s="17"/>
      <x:c r="F36" s="17"/>
      <x:c r="G36" s="7">
        <x:f t="shared" si="0"/>
        <x:v>0</x:v>
      </x:c>
    </x:row>
    <x:row r="37">
      <x:c r="B37" s="18"/>
      <x:c r="C37" s="19"/>
      <x:c r="D37" s="19"/>
      <x:c r="E37" s="17"/>
      <x:c r="F37" s="17"/>
      <x:c r="G37" s="7">
        <x:f t="shared" si="0"/>
        <x:v>0</x:v>
      </x:c>
    </x:row>
    <x:row r="38">
      <x:c r="B38" s="18"/>
      <x:c r="C38" s="19"/>
      <x:c r="D38" s="19"/>
      <x:c r="E38" s="17"/>
      <x:c r="F38" s="17"/>
      <x:c r="G38" s="7">
        <x:f t="shared" si="0"/>
        <x:v>0</x:v>
      </x:c>
    </x:row>
    <x:row r="39">
      <x:c r="B39" s="18"/>
      <x:c r="C39" s="35"/>
      <x:c r="D39" s="19"/>
      <x:c r="E39" s="39"/>
      <x:c r="F39" s="17"/>
      <x:c r="G39" s="7">
        <x:f t="shared" si="0"/>
        <x:v>0</x:v>
      </x:c>
    </x:row>
    <x:row r="40" ht="15">
      <x:c r="B40" s="13" t="s">
        <x:v>25</x:v>
      </x:c>
      <x:c r="C40" s="14"/>
      <x:c r="D40" s="14"/>
      <x:c r="E40" s="25"/>
      <x:c r="F40" s="14"/>
      <x:c r="G40" s="8" t="n">
        <x:f>SUM(G25:G39)</x:f>
        <x:v>0</x:v>
      </x:c>
    </x:row>
    <x:row r="41" ht="15">
      <x:c r="F41" s="2"/>
      <x:c r="G41" s="6"/>
    </x:row>
    <x:row r="42">
      <x:c r="F42" s="2"/>
      <x:c r="G42" s="6"/>
    </x:row>
    <x:row r="43" ht="18.75" customHeight="1">
      <x:c r="B43" s="20"/>
      <x:c r="C43" s="19"/>
      <x:c r="D43" s="19"/>
      <x:c r="E43" s="19"/>
      <x:c r="F43" s="2" t="s">
        <x:v>33</x:v>
      </x:c>
      <x:c r="G43" s="6" t="n">
        <x:f>G40</x:f>
        <x:v>0</x:v>
      </x:c>
    </x:row>
    <x:row r="44" ht="18.75" customHeight="1">
      <x:c r="B44" s="20"/>
      <x:c r="C44" s="19"/>
      <x:c r="D44" s="19"/>
      <x:c r="E44" s="19"/>
      <x:c r="F44" s="2"/>
      <x:c r="G44" s="6"/>
    </x:row>
    <x:row r="45" ht="18.75" customHeight="1">
      <x:c r="A45" s="19">
        <x:v>1</x:v>
      </x:c>
      <x:c r="B45" s="20"/>
      <x:c r="C45" s="19"/>
      <x:c r="D45" s="19"/>
      <x:c r="E45" s="19"/>
      <x:c r="F45" s="2" t="s">
        <x:v>36</x:v>
      </x:c>
      <x:c r="G45" s="23" t="n">
        <x:f>IF(A45,ROUND(G43*25%,2),0)</x:f>
        <x:v>0</x:v>
      </x:c>
    </x:row>
    <x:row r="46" ht="18.75" customHeight="1">
      <x:c r="B46" s="20"/>
      <x:c r="C46" s="19"/>
      <x:c r="D46" s="19"/>
      <x:c r="E46" s="19"/>
      <x:c r="F46" s="15" t="s">
        <x:v>25</x:v>
      </x:c>
      <x:c r="G46" s="9" t="n">
        <x:f>SUM(G43:G45)</x:f>
        <x:v>0</x:v>
      </x:c>
    </x:row>
    <x:row r="47" ht="15">
      <x:c r="B47" s="19"/>
      <x:c r="C47" s="19"/>
      <x:c r="D47" s="19"/>
      <x:c r="E47" s="19"/>
      <x:c r="F47" s="2"/>
      <x:c r="G47" s="2"/>
    </x:row>
    <x:row r="48">
      <x:c r="F48" s="2"/>
      <x:c r="G48" s="2"/>
    </x:row>
    <x:row r="49">
      <x:c r="G49" s="2"/>
    </x:row>
    <x:row r="50">
      <x:c r="B50" s="16"/>
      <x:c r="G50" s="2"/>
    </x:row>
    <x:row r="51">
      <x:c r="B51" s="16"/>
      <x:c r="G51" s="2"/>
    </x:row>
    <x:row r="52">
      <x:c r="B52" s="16"/>
      <x:c r="G52" s="2"/>
    </x:row>
    <x:row r="53">
      <x:c r="G53" s="2"/>
    </x:row>
    <x:row r="54">
      <x:c r="G54" s="2"/>
    </x:row>
  </x:sheetData>
  <x:hyperlinks>
    <x:hyperlink xmlns:r="http://schemas.openxmlformats.org/officeDocument/2006/relationships" ref="F18" r:id="R016d874239524152"/>
    <x:hyperlink xmlns:r="http://schemas.openxmlformats.org/officeDocument/2006/relationships" ref="F19" r:id="R92322cc604f24c03"/>
  </x:hyperlinks>
  <x:pageMargins left="0.7" right="0.7" top="0.75" bottom="0.75" header="0.3" footer="0.3"/>
  <x:drawing xmlns:r="http://schemas.openxmlformats.org/officeDocument/2006/relationships" r:id="Rca1aad3f4dc04f9f"/>
</x:worksheet>
</file>

<file path=xl/worksheets/sheet4.xml><?xml version="1.0" encoding="utf-8"?>
<x:worksheet xmlns:x="http://schemas.openxmlformats.org/spreadsheetml/2006/main">
  <x:sheetFormatPr defaultColWidth="8.81640625" defaultRowHeight="14.5"/>
  <x:cols>
    <x:col min="2" max="2" width="15.453125" customWidth="1"/>
    <x:col min="3" max="3" width="23.7265625" customWidth="1"/>
    <x:col min="4" max="4" width="9.1796875" customWidth="1"/>
    <x:col min="5" max="5" width="14.453125" customWidth="1"/>
  </x:cols>
  <x:sheetData>
    <x:row r="2">
      <x:c r="A2" s="3" t="s">
        <x:v>74</x:v>
      </x:c>
      <x:c r="B2" s="1" t="s">
        <x:v>75</x:v>
      </x:c>
      <x:c r="C2" s="1" t="s">
        <x:v>76</x:v>
      </x:c>
      <x:c r="D2" s="3" t="s">
        <x:v>22</x:v>
      </x:c>
      <x:c r="E2" s="3" t="s">
        <x:v>77</x:v>
      </x:c>
    </x:row>
    <x:row r="4">
      <x:c r="A4">
        <x:v>1</x:v>
      </x:c>
      <x:c r="B4" t="s">
        <x:v>78</x:v>
      </x:c>
      <x:c r="C4" s="41" t="n">
        <x:f>7.45*C10</x:f>
        <x:v>938.7</x:v>
      </x:c>
      <x:c r="D4" s="4"/>
      <x:c r="E4" s="42">
        <x:v>0</x:v>
      </x:c>
    </x:row>
    <x:row r="5">
      <x:c r="A5">
        <x:v>2</x:v>
      </x:c>
      <x:c r="B5" t="s">
        <x:v>48</x:v>
      </x:c>
      <x:c r="C5" s="41">
        <x:v>2.85</x:v>
      </x:c>
      <x:c r="D5" s="1">
        <x:v>999</x:v>
      </x:c>
    </x:row>
    <x:row r="6">
      <x:c r="A6">
        <x:v>3</x:v>
      </x:c>
      <x:c r="B6" t="s">
        <x:v>79</x:v>
      </x:c>
      <x:c r="C6" s="41">
        <x:v>2.5499999999999998</x:v>
      </x:c>
      <x:c r="D6" s="1">
        <x:v>925</x:v>
      </x:c>
    </x:row>
    <x:row r="7">
      <x:c r="A7">
        <x:v>4</x:v>
      </x:c>
      <x:c r="B7" t="s">
        <x:v>80</x:v>
      </x:c>
      <x:c r="C7" s="41">
        <x:v>2.2200000000000002</x:v>
      </x:c>
      <x:c r="D7" s="1">
        <x:v>830</x:v>
      </x:c>
    </x:row>
    <x:row r="8">
      <x:c r="A8">
        <x:v>5</x:v>
      </x:c>
      <x:c r="B8" t="s">
        <x:v>81</x:v>
      </x:c>
      <x:c r="C8" s="2"/>
      <x:c r="D8" s="2"/>
    </x:row>
    <x:row r="9">
      <x:c r="C9" s="2"/>
      <x:c r="D9" s="2"/>
    </x:row>
    <x:row r="10">
      <x:c r="C10" s="51">
        <x:v>126</x:v>
      </x:c>
      <x:c r="D10" s="2"/>
    </x:row>
    <x:row r="11">
      <x:c r="C11" s="2"/>
      <x:c r="D11" s="2"/>
    </x:row>
    <x:row r="12">
      <x:c r="C12" s="36" t="s">
        <x:v>0</x:v>
      </x:c>
      <x:c r="D12" s="36" t="s">
        <x:v>68</x:v>
      </x:c>
    </x:row>
    <x:row r="13">
      <x:c r="C13" s="2"/>
      <x:c r="D13" s="2"/>
    </x:row>
    <x:row r="14">
      <x:c r="B14" t="s">
        <x:v>82</x:v>
      </x:c>
      <x:c r="C14" s="43" t="n">
        <x:v>11017</x:v>
      </x:c>
      <x:c r="D14" s="43">
        <x:v>1001</x:v>
      </x:c>
      <x:c r="F14">
        <x:v>1</x:v>
      </x:c>
    </x:row>
    <x:row r="15">
      <x:c r="C15" s="2"/>
      <x:c r="D15" s="2"/>
    </x:row>
    <x:row r="16">
      <x:c r="C16" s="2"/>
      <x:c r="D16" s="2"/>
    </x:row>
    <x:row r="17">
      <x:c r="C17" s="2"/>
      <x:c r="D17" s="2"/>
    </x:row>
    <x:row r="18">
      <x:c r="C18" s="2"/>
      <x:c r="D18" s="2"/>
    </x:row>
    <x:row r="19">
      <x:c r="C19" s="2"/>
      <x:c r="D19" s="2"/>
    </x:row>
    <x:row r="20">
      <x:c r="C20" s="2"/>
      <x:c r="D20" s="2"/>
    </x:row>
    <x:row r="21">
      <x:c r="C21" s="2"/>
      <x:c r="D21" s="2"/>
    </x:row>
    <x:row r="22">
      <x:c r="C22" s="2"/>
      <x:c r="D22" s="2"/>
    </x:row>
    <x:row r="23">
      <x:c r="C23" s="2"/>
      <x:c r="D23" s="2"/>
    </x:row>
    <x:row r="24">
      <x:c r="C24" s="2"/>
      <x:c r="D24" s="2"/>
    </x:row>
    <x:row r="25">
      <x:c r="C25" s="2"/>
      <x:c r="D2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81640625" defaultRowHeight="14.5"/>
  <x:cols>
    <x:col min="1" max="1" width="8.81640625" style="45" customWidth="0"/>
  </x:cols>
  <x:sheetData>
    <x:row r="3" ht="18.5">
      <x:c r="B3" s="44" t="s">
        <x:v>83</x:v>
      </x:c>
    </x:row>
    <x:row r="5">
      <x:c r="A5" s="45" t="s">
        <x:v>84</x:v>
      </x:c>
      <x:c r="B5" t="s">
        <x:v>85</x:v>
      </x:c>
    </x:row>
    <x:row r="6">
      <x:c r="B6" t="s">
        <x:v>86</x:v>
      </x:c>
    </x:row>
    <x:row r="7">
      <x:c r="B7" t="s">
        <x:v>87</x:v>
      </x:c>
    </x:row>
    <x:row r="8">
      <x:c r="B8" t="s">
        <x:v>88</x:v>
      </x:c>
    </x:row>
    <x:row r="10">
      <x:c r="A10" s="45" t="s">
        <x:v>89</x:v>
      </x:c>
      <x:c r="B10" t="s">
        <x:v>90</x:v>
      </x:c>
    </x:row>
    <x:row r="12">
      <x:c r="A12" s="45" t="s">
        <x:v>91</x:v>
      </x:c>
      <x:c r="B12" t="s">
        <x:v>92</x:v>
      </x:c>
    </x:row>
    <x:row r="13">
      <x:c r="B13" t="s">
        <x:v>93</x:v>
      </x:c>
    </x:row>
    <x:row r="15">
      <x:c r="A15" s="45" t="s">
        <x:v>94</x:v>
      </x:c>
      <x:c r="B15" t="s">
        <x:v>95</x:v>
      </x:c>
    </x:row>
    <x:row r="18" ht="18.5">
      <x:c r="B18" s="44" t="s">
        <x:v>0</x:v>
      </x:c>
    </x:row>
    <x:row r="20">
      <x:c r="A20" s="45" t="s">
        <x:v>84</x:v>
      </x:c>
      <x:c r="B20" t="s">
        <x:v>96</x:v>
      </x:c>
    </x:row>
    <x:row r="22">
      <x:c r="A22" s="45" t="s">
        <x:v>89</x:v>
      </x:c>
      <x:c r="B22" t="s">
        <x:v>97</x:v>
      </x:c>
    </x:row>
    <x:row r="23">
      <x:c r="B23" t="s">
        <x:v>98</x:v>
      </x:c>
    </x:row>
    <x:row r="25">
      <x:c r="A25" s="45" t="s">
        <x:v>91</x:v>
      </x:c>
      <x:c r="B25" t="s">
        <x:v>99</x:v>
      </x:c>
    </x:row>
    <x:row r="27">
      <x:c r="A27" s="45" t="s">
        <x:v>94</x:v>
      </x:c>
      <x:c r="B27" t="s">
        <x:v>100</x:v>
      </x:c>
    </x:row>
    <x:row r="29">
      <x:c r="A29" s="45" t="s">
        <x:v>101</x:v>
      </x:c>
      <x:c r="B29" t="s">
        <x:v>102</x:v>
      </x:c>
    </x:row>
    <x:row r="31">
      <x:c r="A31" s="45" t="s">
        <x:v>103</x:v>
      </x:c>
      <x:c r="B31" t="s">
        <x:v>104</x:v>
      </x:c>
    </x:row>
    <x:row r="33">
      <x:c r="A33" s="45" t="s">
        <x:v>105</x:v>
      </x:c>
      <x:c r="B33" t="s">
        <x:v>106</x:v>
      </x:c>
    </x:row>
    <x:row r="36" ht="18.5">
      <x:c r="B36" s="44" t="s">
        <x:v>107</x:v>
      </x:c>
    </x:row>
    <x:row r="38">
      <x:c r="A38" s="45" t="s">
        <x:v>84</x:v>
      </x:c>
      <x:c r="B38" t="s">
        <x:v>96</x:v>
      </x:c>
    </x:row>
    <x:row r="40">
      <x:c r="A40" s="45" t="s">
        <x:v>89</x:v>
      </x:c>
      <x:c r="B40" t="s">
        <x:v>108</x:v>
      </x:c>
    </x:row>
    <x:row r="42">
      <x:c r="A42" s="45" t="s">
        <x:v>91</x:v>
      </x:c>
      <x:c r="B42" t="s">
        <x:v>109</x:v>
      </x:c>
    </x:row>
    <x:row r="44">
      <x:c r="A44" s="45" t="s">
        <x:v>94</x:v>
      </x:c>
      <x:c r="B44" t="s">
        <x:v>110</x:v>
      </x:c>
    </x:row>
    <x:row r="46">
      <x:c r="A46" s="45" t="s">
        <x:v>101</x:v>
      </x:c>
      <x:c r="B46" t="s">
        <x:v>111</x:v>
      </x:c>
    </x:row>
    <x:row r="48">
      <x:c r="A48" s="45" t="s">
        <x:v>103</x:v>
      </x:c>
      <x:c r="B48" t="s">
        <x:v>106</x:v>
      </x:c>
    </x:row>
    <x:row r="50">
      <x:c r="A50" s="45" t="s">
        <x:v>105</x:v>
      </x:c>
      <x:c r="B50" t="s">
        <x:v>112</x:v>
      </x:c>
    </x:row>
    <x:row r="53" ht="18.5">
      <x:c r="B53" s="44" t="s">
        <x:v>113</x:v>
      </x:c>
    </x:row>
    <x:row r="55">
      <x:c r="A55" s="45" t="s">
        <x:v>84</x:v>
      </x:c>
      <x:c r="B55" t="s">
        <x:v>114</x:v>
      </x:c>
    </x:row>
    <x:row r="57">
      <x:c r="A57" s="45" t="s">
        <x:v>89</x:v>
      </x:c>
      <x:c r="B57" t="s">
        <x:v>115</x:v>
      </x:c>
    </x:row>
    <x:row r="59">
      <x:c r="A59" s="45" t="s">
        <x:v>91</x:v>
      </x:c>
      <x:c r="B59" t="s">
        <x:v>116</x:v>
      </x:c>
    </x:row>
    <x:row r="61">
      <x:c r="A61" s="45" t="s">
        <x:v>94</x:v>
      </x:c>
      <x:c r="B61" t="s">
        <x:v>117</x:v>
      </x:c>
    </x:row>
    <x:row r="64" ht="18.5">
      <x:c r="B64" s="44" t="s">
        <x:v>118</x:v>
      </x:c>
    </x:row>
    <x:row r="66">
      <x:c r="A66" s="45" t="s">
        <x:v>84</x:v>
      </x:c>
      <x:c r="B66" t="s">
        <x:v>119</x:v>
      </x:c>
    </x:row>
    <x:row r="68">
      <x:c r="A68" s="45" t="s">
        <x:v>89</x:v>
      </x:c>
      <x:c r="B68" t="s">
        <x:v>120</x:v>
      </x:c>
    </x:row>
  </x:sheetData>
  <x:pageMargins left="0.7" right="0.7" top="0.75" bottom="0.75" header="0.3" footer="0.3"/>
</x:worksheet>
</file>
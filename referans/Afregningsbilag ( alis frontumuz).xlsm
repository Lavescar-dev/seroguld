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serogulddk-my.sharepoint.com/personal/info_seroguld_dk/Documents/Sero Guld kopi/sero/CRM System -Efe/"/>
    </mc:Choice>
  </mc:AlternateContent>
  <xr:revisionPtr revIDLastSave="0" documentId="8_{D86E7C17-E32B-4AAB-8486-E23B2E55508F}" xr6:coauthVersionLast="47" xr6:coauthVersionMax="47" xr10:uidLastSave="{00000000-0000-0000-0000-000000000000}"/>
  <bookViews>
    <workbookView xWindow="1220" yWindow="490" windowWidth="17980" windowHeight="9590" xr2:uid="{00000000-000D-0000-FFFF-FFFF00000000}"/>
  </bookViews>
  <sheets>
    <sheet name="Afregningsbilag" sheetId="1" r:id="rId1"/>
    <sheet name="Faktura guld og sølv" sheetId="4" r:id="rId2"/>
    <sheet name="Faktura diverse" sheetId="5" r:id="rId3"/>
    <sheet name="Variable værdier" sheetId="2" r:id="rId4"/>
    <sheet name="Brugsanvisning" sheetId="3" r:id="rId5"/>
  </sheets>
  <definedNames>
    <definedName name="_xlnm.Print_Area" localSheetId="0">Afregningsbilag!$C$4:$H$55</definedName>
    <definedName name="_xlnm.Print_Area" localSheetId="2">'Faktura diverse'!$B$4:$G$54</definedName>
    <definedName name="_xlnm.Print_Area" localSheetId="1">'Faktura guld og sølv'!$B$4:$G$53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7" i="1" l="1"/>
  <c r="L36" i="1"/>
  <c r="L35" i="1"/>
  <c r="L34" i="1"/>
  <c r="L33" i="1"/>
  <c r="L32" i="1"/>
  <c r="L38" i="1" s="1"/>
  <c r="C24" i="1"/>
  <c r="E24" i="1"/>
  <c r="C25" i="1"/>
  <c r="E25" i="1"/>
  <c r="C26" i="1"/>
  <c r="E26" i="1"/>
  <c r="C27" i="1"/>
  <c r="E27" i="1"/>
  <c r="C28" i="1"/>
  <c r="E28" i="1"/>
  <c r="C30" i="1"/>
  <c r="E30" i="1"/>
  <c r="C31" i="1"/>
  <c r="E31" i="1"/>
  <c r="C32" i="1"/>
  <c r="E32" i="1"/>
  <c r="E33" i="1"/>
  <c r="I81" i="1"/>
  <c r="J81" i="1" s="1"/>
  <c r="I79" i="1"/>
  <c r="J79" i="1" s="1"/>
  <c r="I80" i="1"/>
  <c r="L26" i="1"/>
  <c r="L25" i="1"/>
  <c r="L24" i="1"/>
  <c r="L23" i="1"/>
  <c r="L22" i="1"/>
  <c r="G75" i="1" l="1"/>
  <c r="L27" i="1"/>
  <c r="E82" i="1" l="1"/>
  <c r="E83" i="1"/>
  <c r="E87" i="1"/>
  <c r="E86" i="1"/>
  <c r="E85" i="1"/>
  <c r="E84" i="1"/>
  <c r="E79" i="1"/>
  <c r="C4" i="2" l="1"/>
  <c r="C22" i="1"/>
  <c r="E22" i="1"/>
  <c r="H30" i="1"/>
  <c r="H31" i="1"/>
  <c r="H32" i="1"/>
  <c r="H33" i="1"/>
  <c r="C34" i="1"/>
  <c r="E34" i="1"/>
  <c r="G34" i="1"/>
  <c r="H34" i="1" s="1"/>
  <c r="G35" i="1"/>
  <c r="H35" i="1" s="1"/>
  <c r="G36" i="1"/>
  <c r="H36" i="1" s="1"/>
  <c r="D75" i="1"/>
  <c r="F87" i="1"/>
  <c r="F86" i="1"/>
  <c r="F85" i="1"/>
  <c r="F84" i="1"/>
  <c r="F83" i="1"/>
  <c r="F82" i="1"/>
  <c r="F81" i="1"/>
  <c r="J80" i="1"/>
  <c r="F80" i="1"/>
  <c r="F79" i="1"/>
  <c r="G37" i="1"/>
  <c r="H37" i="1" s="1"/>
  <c r="C37" i="1"/>
  <c r="C36" i="1"/>
  <c r="C35" i="1"/>
  <c r="C23" i="1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B37" i="4"/>
  <c r="B36" i="4"/>
  <c r="B35" i="4"/>
  <c r="B34" i="4"/>
  <c r="B33" i="4"/>
  <c r="B32" i="4"/>
  <c r="B31" i="4"/>
  <c r="B30" i="4"/>
  <c r="B29" i="4"/>
  <c r="B28" i="4"/>
  <c r="B27" i="4"/>
  <c r="B26" i="4"/>
  <c r="E23" i="1"/>
  <c r="F14" i="5"/>
  <c r="F15" i="4"/>
  <c r="C2" i="5"/>
  <c r="E37" i="1"/>
  <c r="E36" i="1"/>
  <c r="E35" i="1"/>
  <c r="D31" i="4"/>
  <c r="D37" i="4"/>
  <c r="D36" i="4"/>
  <c r="D35" i="4"/>
  <c r="D34" i="4"/>
  <c r="D33" i="4"/>
  <c r="D32" i="4"/>
  <c r="D30" i="4"/>
  <c r="D29" i="4"/>
  <c r="D28" i="4"/>
  <c r="D27" i="4"/>
  <c r="D26" i="4"/>
  <c r="D2" i="1"/>
  <c r="C2" i="4"/>
  <c r="F27" i="4"/>
  <c r="G27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26" i="4"/>
  <c r="G26" i="4" s="1"/>
  <c r="E41" i="4"/>
  <c r="F31" i="4"/>
  <c r="G31" i="4" s="1"/>
  <c r="F30" i="4"/>
  <c r="G30" i="4" s="1"/>
  <c r="F29" i="4"/>
  <c r="G29" i="4" s="1"/>
  <c r="F28" i="4"/>
  <c r="G28" i="4" s="1"/>
  <c r="H42" i="1"/>
  <c r="F38" i="1"/>
  <c r="G22" i="1" l="1"/>
  <c r="H22" i="1" s="1"/>
  <c r="G28" i="1"/>
  <c r="H28" i="1" s="1"/>
  <c r="G23" i="1"/>
  <c r="H23" i="1" s="1"/>
  <c r="G26" i="1"/>
  <c r="H26" i="1" s="1"/>
  <c r="G24" i="1"/>
  <c r="H24" i="1" s="1"/>
  <c r="G27" i="1"/>
  <c r="H27" i="1" s="1"/>
  <c r="G25" i="1"/>
  <c r="H25" i="1" s="1"/>
  <c r="J82" i="1"/>
  <c r="I75" i="1" s="1"/>
  <c r="I85" i="1"/>
  <c r="G40" i="5"/>
  <c r="G43" i="5" s="1"/>
  <c r="F88" i="1"/>
  <c r="F75" i="1" s="1"/>
  <c r="H75" i="1"/>
  <c r="G45" i="5"/>
  <c r="G46" i="5" s="1"/>
  <c r="G41" i="4"/>
  <c r="G44" i="4" s="1"/>
  <c r="H38" i="1" l="1"/>
  <c r="H40" i="1" s="1"/>
  <c r="E75" i="1"/>
  <c r="G46" i="4"/>
  <c r="G47" i="4" s="1"/>
  <c r="H43" i="1" l="1"/>
  <c r="D40" i="1" s="1"/>
</calcChain>
</file>

<file path=xl/sharedStrings.xml><?xml version="1.0" encoding="utf-8"?>
<sst xmlns="http://schemas.openxmlformats.org/spreadsheetml/2006/main" count="184" uniqueCount="121">
  <si>
    <t>Afregningsbilag</t>
  </si>
  <si>
    <t>Afregningsnr.</t>
  </si>
  <si>
    <t>Dato:</t>
  </si>
  <si>
    <t>A</t>
  </si>
  <si>
    <t>v</t>
  </si>
  <si>
    <t>Sero Guld</t>
  </si>
  <si>
    <t>a</t>
  </si>
  <si>
    <t>Din professionelle forhandler</t>
  </si>
  <si>
    <t>n</t>
  </si>
  <si>
    <t>Navn:</t>
  </si>
  <si>
    <t>CPR nr.</t>
  </si>
  <si>
    <t>c</t>
  </si>
  <si>
    <t>Adresse:</t>
  </si>
  <si>
    <t>Kørekort/pas</t>
  </si>
  <si>
    <t>e</t>
  </si>
  <si>
    <t>Postnr.:</t>
  </si>
  <si>
    <t>Tlf.</t>
  </si>
  <si>
    <t>%</t>
  </si>
  <si>
    <t>E-mail</t>
  </si>
  <si>
    <t>↓</t>
  </si>
  <si>
    <t>Type</t>
  </si>
  <si>
    <t>Karat / % Finhed</t>
  </si>
  <si>
    <t>Lødighed</t>
  </si>
  <si>
    <t>Vægt i g</t>
  </si>
  <si>
    <t>Enhedspris / g</t>
  </si>
  <si>
    <t>I alt</t>
  </si>
  <si>
    <t>Kniv beregner</t>
  </si>
  <si>
    <t>Vægt</t>
  </si>
  <si>
    <t>antal</t>
  </si>
  <si>
    <t>Total</t>
  </si>
  <si>
    <t>Beregner</t>
  </si>
  <si>
    <t>Plet</t>
  </si>
  <si>
    <t>Overførsel</t>
  </si>
  <si>
    <t>Subtotal</t>
  </si>
  <si>
    <t>Reg.nr.</t>
  </si>
  <si>
    <t>Kontonr.:</t>
  </si>
  <si>
    <t>Moms</t>
  </si>
  <si>
    <t>Underskrift:</t>
  </si>
  <si>
    <t>Jeg bekræfter herved at:</t>
  </si>
  <si>
    <t>Smykkerne/sølvtøjet er solgt frit og ubehæftet til Sero Guld ApS og kan ikke returneres.</t>
  </si>
  <si>
    <t>Varerne i denne handel er afregnet i henhold til dagsprisen på guld og sølv på www.seroguld.dk</t>
  </si>
  <si>
    <r>
      <rPr>
        <b/>
        <sz val="10"/>
        <color theme="1"/>
        <rFont val="Calibri"/>
        <family val="2"/>
        <scheme val="minor"/>
      </rPr>
      <t>Sero Guld</t>
    </r>
    <r>
      <rPr>
        <sz val="10"/>
        <color theme="1"/>
        <rFont val="Calibri"/>
        <family val="2"/>
        <scheme val="minor"/>
      </rPr>
      <t xml:space="preserve"> -  Valby Langgade 84 - 2500 Valby - Danmark - CVR-nr: DK34093083</t>
    </r>
  </si>
  <si>
    <t xml:space="preserve">         Tlf.: 22255504 - E-mail: info@seroguld.dk - www.seroguld.dk</t>
  </si>
  <si>
    <t>Gram Au</t>
  </si>
  <si>
    <t>Kr. AU</t>
  </si>
  <si>
    <t>Finguld</t>
  </si>
  <si>
    <t>Gram Ag</t>
  </si>
  <si>
    <t>kr. AG</t>
  </si>
  <si>
    <t>Finsølv</t>
  </si>
  <si>
    <t>Karat</t>
  </si>
  <si>
    <t>Gram</t>
  </si>
  <si>
    <t>finguld</t>
  </si>
  <si>
    <t>karat</t>
  </si>
  <si>
    <t>Sterling</t>
  </si>
  <si>
    <t>Tre Tårnet</t>
  </si>
  <si>
    <t>I alt:</t>
  </si>
  <si>
    <t>SeRo Guldopkøb ApS</t>
  </si>
  <si>
    <t>ahmet demir</t>
  </si>
  <si>
    <t>Hvidovrevej 80 E 2, Lokale 3</t>
  </si>
  <si>
    <t>2610 Rødovre</t>
  </si>
  <si>
    <t>Mobil: 22 25 55 04</t>
  </si>
  <si>
    <t>CVR nr.</t>
  </si>
  <si>
    <t>Fakturanr.</t>
  </si>
  <si>
    <t>Dato</t>
  </si>
  <si>
    <t>Bankkontonr.</t>
  </si>
  <si>
    <t>Reg.nr. 5512   0725397984</t>
  </si>
  <si>
    <t>E-mail:</t>
  </si>
  <si>
    <t>seroguld@seroguld.dk</t>
  </si>
  <si>
    <t>Faktura</t>
  </si>
  <si>
    <t>Webside:</t>
  </si>
  <si>
    <t>www.seroguld.dk</t>
  </si>
  <si>
    <t>Tekst</t>
  </si>
  <si>
    <t>Antal</t>
  </si>
  <si>
    <t>Pris</t>
  </si>
  <si>
    <t>Varenr.</t>
  </si>
  <si>
    <t>Varebeskrivelse</t>
  </si>
  <si>
    <t>Dagspris 24 karat/ Finsølv</t>
  </si>
  <si>
    <t>Avanceprocent</t>
  </si>
  <si>
    <t>Guld</t>
  </si>
  <si>
    <t>Sterling sølv</t>
  </si>
  <si>
    <t>3 tårnet sølv</t>
  </si>
  <si>
    <t>Sølv</t>
  </si>
  <si>
    <t>Næste nummer:</t>
  </si>
  <si>
    <t>Generelt</t>
  </si>
  <si>
    <t>1.</t>
  </si>
  <si>
    <t>Når du er færdig med at anvende regnearket, skal du gemme det f.eks. ved at trykke på diskettesymbolet øverst til venstre i billedet.</t>
  </si>
  <si>
    <t>Hvis du ikke gemmer det, vil du starte på samme formularnumre som sidst, og numrene er ikke opdateret med de seneste ændringer.</t>
  </si>
  <si>
    <t>Skulle du få behov for at gentage et afregnings- eller fakturanummer, kan du rette nummeret på fanen "Variable værdier" i cellerne</t>
  </si>
  <si>
    <t>C14 eller D14.</t>
  </si>
  <si>
    <t>2.</t>
  </si>
  <si>
    <t>Hvis du anvender Tabuleringstasten til at bevæge cursoren med, vil den kun springe til felter, du kan rette i.</t>
  </si>
  <si>
    <t>3.</t>
  </si>
  <si>
    <t>Om du vil rydde formularerne for indhold og opdatere formularnummeret før du gemmer arket er en temperamentssag, men jeg anbe-</t>
  </si>
  <si>
    <t>faler, at du gør det på samme måde hver gang, så det bliver en rutine.</t>
  </si>
  <si>
    <t>4.</t>
  </si>
  <si>
    <t>Har du brug for at fjerne eller sætte arkbeskyttelsen til, skal du skifte til fanen "Gennemse" foroven i Excel arket.</t>
  </si>
  <si>
    <t>I kolonne A indtastes en talkode svarende til valgmulighederne på fanen "Variable værdier".</t>
  </si>
  <si>
    <t xml:space="preserve">I kolonne B kan indtastes en ønsket avanceprocent, der gælder for den pågældende linje. Indtastes der ikke en værdi, vil avanceprocenten </t>
  </si>
  <si>
    <t>fra fanen "Variable værdier blive anvendt.</t>
  </si>
  <si>
    <t>Kolonne C udfyldes automatisk.</t>
  </si>
  <si>
    <t>I kolonne D indtastes karat/finhed for varen.</t>
  </si>
  <si>
    <t>5.</t>
  </si>
  <si>
    <t>Kolonne E udfyldes automatisk.</t>
  </si>
  <si>
    <t>6.</t>
  </si>
  <si>
    <t>I kolonne F indtastes vægten i gram for varen.</t>
  </si>
  <si>
    <t>7.</t>
  </si>
  <si>
    <t>Herefter er varelinjen færdig, og totalen beregnes.</t>
  </si>
  <si>
    <t>Faktura guld og sølv</t>
  </si>
  <si>
    <t>Kolonne B udfyldes automatisk.</t>
  </si>
  <si>
    <t>I kolonne C indtastes karat/finhed for varen.</t>
  </si>
  <si>
    <t>Kolonne D udfyldes automatisk.</t>
  </si>
  <si>
    <t>I kolonne E indtastes vægten i gram for varen.</t>
  </si>
  <si>
    <t>De tre nederste linier på fakturaen kan anvendes til at skrive en valgfri tekst.</t>
  </si>
  <si>
    <t>Faktura diverse</t>
  </si>
  <si>
    <t>I kolonne B indtastes en valgfri tekst.</t>
  </si>
  <si>
    <t>I kolonne E indtastes antallet, hvis det er forskelligt fra 1.</t>
  </si>
  <si>
    <t>I kolonne F indtastes enhedsprisen.</t>
  </si>
  <si>
    <t>Herefter er varelinjen færdig, og totalen beregnes, idet der anvendes 1 for antal, såfremt der ikke er opgivet en anden værdi.</t>
  </si>
  <si>
    <t>Variable værdier</t>
  </si>
  <si>
    <t>Værdierne i de farvede felter kan rettes.</t>
  </si>
  <si>
    <t>Betydningen af de enkelte værdier fremgår af teksterne.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</si>
</sst>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8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Biome Light"/>
      <family val="2"/>
    </font>
    <font>
      <i/>
      <sz val="10"/>
      <color theme="1"/>
      <name val="Vladimir Script"/>
      <family val="4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DD0806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right"/>
    </xf>
    <xf numFmtId="4" fontId="1" fillId="0" borderId="0" xfId="0" applyNumberFormat="1" applyFont="1"/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4" fontId="0" fillId="0" borderId="8" xfId="0" applyNumberFormat="1" applyBorder="1" applyProtection="1">
      <protection hidden="1"/>
    </xf>
    <xf numFmtId="4" fontId="0" fillId="0" borderId="12" xfId="0" applyNumberFormat="1" applyBorder="1" applyProtection="1">
      <protection hidden="1"/>
    </xf>
    <xf numFmtId="4" fontId="0" fillId="0" borderId="13" xfId="0" applyNumberFormat="1" applyBorder="1" applyProtection="1">
      <protection hidden="1"/>
    </xf>
    <xf numFmtId="0" fontId="1" fillId="0" borderId="1" xfId="0" applyFont="1" applyBorder="1"/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0" fillId="0" borderId="11" xfId="0" applyBorder="1"/>
    <xf numFmtId="0" fontId="0" fillId="0" borderId="10" xfId="0" applyBorder="1"/>
    <xf numFmtId="4" fontId="0" fillId="0" borderId="13" xfId="0" applyNumberFormat="1" applyBorder="1"/>
    <xf numFmtId="0" fontId="3" fillId="0" borderId="0" xfId="0" applyFont="1"/>
    <xf numFmtId="4" fontId="0" fillId="0" borderId="0" xfId="0" applyNumberFormat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Continuous"/>
      <protection locked="0"/>
    </xf>
    <xf numFmtId="0" fontId="4" fillId="0" borderId="0" xfId="0" applyFont="1" applyAlignment="1" applyProtection="1">
      <alignment horizontal="centerContinuous"/>
      <protection locked="0"/>
    </xf>
    <xf numFmtId="4" fontId="0" fillId="0" borderId="9" xfId="0" applyNumberFormat="1" applyBorder="1" applyProtection="1">
      <protection hidden="1"/>
    </xf>
    <xf numFmtId="14" fontId="0" fillId="0" borderId="0" xfId="0" applyNumberFormat="1" applyProtection="1">
      <protection locked="0"/>
    </xf>
    <xf numFmtId="4" fontId="0" fillId="0" borderId="10" xfId="0" applyNumberFormat="1" applyBorder="1"/>
    <xf numFmtId="14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Alignment="1">
      <alignment horizontal="centerContinuous"/>
    </xf>
    <xf numFmtId="0" fontId="2" fillId="0" borderId="0" xfId="0" applyFont="1" applyProtection="1">
      <protection locked="0"/>
    </xf>
    <xf numFmtId="0" fontId="5" fillId="0" borderId="0" xfId="1" applyAlignment="1" applyProtection="1"/>
    <xf numFmtId="0" fontId="0" fillId="0" borderId="0" xfId="0" quotePrefix="1" applyProtection="1">
      <protection locked="0"/>
    </xf>
    <xf numFmtId="0" fontId="1" fillId="0" borderId="1" xfId="0" applyFont="1" applyBorder="1" applyAlignment="1">
      <alignment horizontal="centerContinuous"/>
    </xf>
    <xf numFmtId="0" fontId="1" fillId="0" borderId="0" xfId="0" applyFont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0" fillId="0" borderId="9" xfId="0" applyBorder="1" applyProtection="1">
      <protection locked="0"/>
    </xf>
    <xf numFmtId="4" fontId="0" fillId="0" borderId="9" xfId="0" applyNumberFormat="1" applyBorder="1"/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4" fontId="0" fillId="0" borderId="9" xfId="0" applyNumberFormat="1" applyBorder="1" applyProtection="1">
      <protection locked="0"/>
    </xf>
    <xf numFmtId="1" fontId="0" fillId="0" borderId="0" xfId="0" applyNumberFormat="1"/>
    <xf numFmtId="4" fontId="1" fillId="2" borderId="0" xfId="0" applyNumberFormat="1" applyFont="1" applyFill="1" applyProtection="1">
      <protection locked="0"/>
    </xf>
    <xf numFmtId="164" fontId="1" fillId="2" borderId="0" xfId="0" applyNumberFormat="1" applyFont="1" applyFill="1" applyProtection="1">
      <protection locked="0"/>
    </xf>
    <xf numFmtId="1" fontId="0" fillId="2" borderId="0" xfId="0" applyNumberFormat="1" applyFill="1" applyProtection="1">
      <protection locked="0"/>
    </xf>
    <xf numFmtId="0" fontId="4" fillId="0" borderId="0" xfId="0" applyFont="1"/>
    <xf numFmtId="1" fontId="1" fillId="0" borderId="0" xfId="0" applyNumberFormat="1" applyFont="1" applyAlignment="1">
      <alignment horizontal="center"/>
    </xf>
    <xf numFmtId="0" fontId="0" fillId="0" borderId="7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4" fontId="0" fillId="0" borderId="6" xfId="0" applyNumberFormat="1" applyBorder="1" applyProtection="1">
      <protection hidden="1"/>
    </xf>
    <xf numFmtId="0" fontId="0" fillId="0" borderId="8" xfId="0" applyBorder="1" applyProtection="1">
      <protection locked="0"/>
    </xf>
    <xf numFmtId="4" fontId="0" fillId="6" borderId="0" xfId="0" applyNumberFormat="1" applyFill="1"/>
    <xf numFmtId="0" fontId="8" fillId="0" borderId="0" xfId="0" applyFont="1"/>
    <xf numFmtId="14" fontId="8" fillId="0" borderId="0" xfId="0" applyNumberFormat="1" applyFont="1"/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Continuous"/>
      <protection locked="0"/>
    </xf>
    <xf numFmtId="3" fontId="8" fillId="0" borderId="0" xfId="0" applyNumberFormat="1" applyFont="1" applyProtection="1">
      <protection locked="0"/>
    </xf>
    <xf numFmtId="14" fontId="8" fillId="0" borderId="0" xfId="0" applyNumberFormat="1" applyFont="1" applyProtection="1">
      <protection locked="0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8" fillId="0" borderId="4" xfId="0" applyFont="1" applyBorder="1" applyProtection="1">
      <protection locked="0"/>
    </xf>
    <xf numFmtId="0" fontId="8" fillId="0" borderId="5" xfId="0" applyFont="1" applyBorder="1" applyProtection="1">
      <protection locked="0"/>
    </xf>
    <xf numFmtId="0" fontId="8" fillId="0" borderId="5" xfId="0" applyFont="1" applyBorder="1"/>
    <xf numFmtId="4" fontId="8" fillId="0" borderId="6" xfId="0" applyNumberFormat="1" applyFont="1" applyBorder="1"/>
    <xf numFmtId="10" fontId="8" fillId="5" borderId="0" xfId="0" applyNumberFormat="1" applyFont="1" applyFill="1" applyProtection="1">
      <protection locked="0"/>
    </xf>
    <xf numFmtId="0" fontId="8" fillId="3" borderId="14" xfId="0" applyFont="1" applyFill="1" applyBorder="1" applyProtection="1">
      <protection hidden="1"/>
    </xf>
    <xf numFmtId="0" fontId="8" fillId="3" borderId="14" xfId="0" applyFont="1" applyFill="1" applyBorder="1" applyProtection="1">
      <protection locked="0"/>
    </xf>
    <xf numFmtId="4" fontId="8" fillId="3" borderId="14" xfId="0" applyNumberFormat="1" applyFont="1" applyFill="1" applyBorder="1" applyProtection="1">
      <protection locked="0"/>
    </xf>
    <xf numFmtId="4" fontId="8" fillId="3" borderId="14" xfId="0" applyNumberFormat="1" applyFont="1" applyFill="1" applyBorder="1" applyProtection="1">
      <protection hidden="1"/>
    </xf>
    <xf numFmtId="10" fontId="8" fillId="0" borderId="0" xfId="0" applyNumberFormat="1" applyFont="1" applyProtection="1">
      <protection locked="0"/>
    </xf>
    <xf numFmtId="0" fontId="8" fillId="4" borderId="14" xfId="0" applyFont="1" applyFill="1" applyBorder="1" applyProtection="1">
      <protection hidden="1"/>
    </xf>
    <xf numFmtId="0" fontId="8" fillId="4" borderId="14" xfId="0" applyFont="1" applyFill="1" applyBorder="1" applyProtection="1">
      <protection locked="0"/>
    </xf>
    <xf numFmtId="4" fontId="8" fillId="4" borderId="14" xfId="0" applyNumberFormat="1" applyFont="1" applyFill="1" applyBorder="1" applyProtection="1">
      <protection locked="0"/>
    </xf>
    <xf numFmtId="4" fontId="8" fillId="4" borderId="14" xfId="0" applyNumberFormat="1" applyFont="1" applyFill="1" applyBorder="1" applyProtection="1">
      <protection hidden="1"/>
    </xf>
    <xf numFmtId="0" fontId="8" fillId="0" borderId="7" xfId="0" applyFont="1" applyBorder="1" applyProtection="1">
      <protection hidden="1"/>
    </xf>
    <xf numFmtId="0" fontId="8" fillId="0" borderId="9" xfId="0" applyFont="1" applyBorder="1" applyProtection="1">
      <protection locked="0"/>
    </xf>
    <xf numFmtId="0" fontId="8" fillId="0" borderId="0" xfId="0" applyFont="1" applyProtection="1">
      <protection hidden="1"/>
    </xf>
    <xf numFmtId="4" fontId="8" fillId="0" borderId="9" xfId="0" applyNumberFormat="1" applyFont="1" applyBorder="1" applyProtection="1">
      <protection locked="0"/>
    </xf>
    <xf numFmtId="4" fontId="8" fillId="0" borderId="0" xfId="0" applyNumberFormat="1" applyFont="1" applyProtection="1">
      <protection hidden="1"/>
    </xf>
    <xf numFmtId="4" fontId="8" fillId="0" borderId="8" xfId="0" applyNumberFormat="1" applyFont="1" applyBorder="1" applyProtection="1">
      <protection hidden="1"/>
    </xf>
    <xf numFmtId="0" fontId="8" fillId="0" borderId="11" xfId="0" applyFont="1" applyBorder="1"/>
    <xf numFmtId="0" fontId="8" fillId="0" borderId="10" xfId="0" applyFont="1" applyBorder="1"/>
    <xf numFmtId="4" fontId="8" fillId="0" borderId="10" xfId="0" applyNumberFormat="1" applyFont="1" applyBorder="1"/>
    <xf numFmtId="4" fontId="8" fillId="0" borderId="12" xfId="0" applyNumberFormat="1" applyFont="1" applyBorder="1" applyProtection="1">
      <protection hidden="1"/>
    </xf>
    <xf numFmtId="4" fontId="8" fillId="0" borderId="0" xfId="0" applyNumberFormat="1" applyFont="1"/>
    <xf numFmtId="4" fontId="8" fillId="0" borderId="9" xfId="0" applyNumberFormat="1" applyFont="1" applyBorder="1" applyProtection="1">
      <protection hidden="1"/>
    </xf>
    <xf numFmtId="4" fontId="8" fillId="0" borderId="13" xfId="0" applyNumberFormat="1" applyFont="1" applyBorder="1"/>
    <xf numFmtId="4" fontId="8" fillId="0" borderId="13" xfId="0" applyNumberFormat="1" applyFont="1" applyBorder="1" applyProtection="1">
      <protection hidden="1"/>
    </xf>
    <xf numFmtId="0" fontId="8" fillId="0" borderId="9" xfId="0" applyFont="1" applyBorder="1"/>
    <xf numFmtId="0" fontId="11" fillId="0" borderId="0" xfId="0" applyFont="1"/>
    <xf numFmtId="0" fontId="8" fillId="3" borderId="14" xfId="0" applyFont="1" applyFill="1" applyBorder="1"/>
    <xf numFmtId="0" fontId="8" fillId="4" borderId="14" xfId="0" applyFont="1" applyFill="1" applyBorder="1"/>
    <xf numFmtId="4" fontId="8" fillId="0" borderId="14" xfId="0" applyNumberFormat="1" applyFont="1" applyBorder="1"/>
    <xf numFmtId="165" fontId="8" fillId="0" borderId="14" xfId="0" applyNumberFormat="1" applyFont="1" applyBorder="1"/>
    <xf numFmtId="0" fontId="8" fillId="0" borderId="14" xfId="0" applyFont="1" applyBorder="1"/>
    <xf numFmtId="4" fontId="8" fillId="0" borderId="14" xfId="0" applyNumberFormat="1" applyFont="1" applyBorder="1" applyProtection="1">
      <protection locked="0"/>
    </xf>
    <xf numFmtId="0" fontId="14" fillId="0" borderId="0" xfId="0" applyFont="1" applyAlignment="1" applyProtection="1">
      <alignment horizontal="center"/>
      <protection locked="0"/>
    </xf>
    <xf numFmtId="0" fontId="1" fillId="6" borderId="1" xfId="0" applyFont="1" applyFill="1" applyBorder="1"/>
    <xf numFmtId="0" fontId="1" fillId="6" borderId="2" xfId="0" applyFont="1" applyFill="1" applyBorder="1" applyAlignment="1">
      <alignment horizontal="right"/>
    </xf>
    <xf numFmtId="0" fontId="1" fillId="6" borderId="3" xfId="0" applyFont="1" applyFill="1" applyBorder="1" applyAlignment="1">
      <alignment horizontal="right"/>
    </xf>
    <xf numFmtId="4" fontId="8" fillId="0" borderId="0" xfId="0" applyNumberFormat="1" applyFont="1" applyProtection="1">
      <protection locked="0"/>
    </xf>
    <xf numFmtId="4" fontId="12" fillId="7" borderId="15" xfId="0" applyNumberFormat="1" applyFont="1" applyFill="1" applyBorder="1"/>
    <xf numFmtId="0" fontId="12" fillId="7" borderId="16" xfId="0" applyFont="1" applyFill="1" applyBorder="1"/>
    <xf numFmtId="0" fontId="12" fillId="7" borderId="17" xfId="0" applyFont="1" applyFill="1" applyBorder="1"/>
    <xf numFmtId="4" fontId="0" fillId="0" borderId="18" xfId="0" applyNumberFormat="1" applyBorder="1"/>
    <xf numFmtId="0" fontId="0" fillId="0" borderId="14" xfId="0" applyBorder="1"/>
    <xf numFmtId="0" fontId="0" fillId="0" borderId="19" xfId="0" applyBorder="1"/>
    <xf numFmtId="0" fontId="8" fillId="0" borderId="18" xfId="0" applyFont="1" applyBorder="1"/>
    <xf numFmtId="0" fontId="8" fillId="0" borderId="19" xfId="0" applyFont="1" applyBorder="1"/>
    <xf numFmtId="0" fontId="0" fillId="0" borderId="18" xfId="0" applyBorder="1"/>
    <xf numFmtId="0" fontId="0" fillId="6" borderId="20" xfId="0" applyFill="1" applyBorder="1"/>
    <xf numFmtId="0" fontId="8" fillId="6" borderId="21" xfId="0" applyFont="1" applyFill="1" applyBorder="1"/>
    <xf numFmtId="0" fontId="8" fillId="6" borderId="22" xfId="0" applyFont="1" applyFill="1" applyBorder="1"/>
    <xf numFmtId="0" fontId="8" fillId="0" borderId="23" xfId="0" applyFont="1" applyBorder="1"/>
    <xf numFmtId="0" fontId="8" fillId="8" borderId="14" xfId="0" applyFont="1" applyFill="1" applyBorder="1" applyProtection="1">
      <protection hidden="1"/>
    </xf>
    <xf numFmtId="0" fontId="8" fillId="8" borderId="14" xfId="0" applyFont="1" applyFill="1" applyBorder="1" applyProtection="1">
      <protection locked="0"/>
    </xf>
    <xf numFmtId="4" fontId="8" fillId="8" borderId="14" xfId="0" applyNumberFormat="1" applyFont="1" applyFill="1" applyBorder="1" applyProtection="1">
      <protection locked="0"/>
    </xf>
    <xf numFmtId="4" fontId="8" fillId="8" borderId="14" xfId="0" applyNumberFormat="1" applyFont="1" applyFill="1" applyBorder="1" applyProtection="1">
      <protection hidden="1"/>
    </xf>
    <xf numFmtId="0" fontId="15" fillId="0" borderId="5" xfId="0" applyFont="1" applyBorder="1"/>
    <xf numFmtId="0" fontId="2" fillId="0" borderId="0" xfId="0" applyFont="1" applyAlignment="1" applyProtection="1">
      <alignment horizontal="centerContinuous"/>
      <protection locked="0"/>
    </xf>
    <xf numFmtId="0" fontId="5" fillId="0" borderId="0" xfId="1" applyAlignment="1" applyProtection="1">
      <protection locked="0"/>
    </xf>
    <xf numFmtId="0" fontId="3" fillId="0" borderId="9" xfId="0" applyFont="1" applyBorder="1"/>
    <xf numFmtId="0" fontId="13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</cellXfs>
  <cellStyles count="3">
    <cellStyle name="Followed Hyperlink" xfId="2" builtinId="9" hidden="1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7</xdr:col>
          <xdr:colOff>12700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DD0806"/>
                  </a:solidFill>
                  <a:latin typeface="Calibri"/>
                  <a:ea typeface="Calibri"/>
                  <a:cs typeface="Calibri"/>
                </a:rPr>
                <a:t>Slet indhold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Indsæt --&gt;</a:t>
              </a:r>
            </a:p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Indsæt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146050</xdr:colOff>
          <xdr:row>1</xdr:row>
          <xdr:rowOff>0</xdr:rowOff>
        </xdr:from>
        <xdr:to>
          <xdr:col>5</xdr:col>
          <xdr:colOff>431800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Næste afr.nr.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365760</xdr:colOff>
      <xdr:row>5</xdr:row>
      <xdr:rowOff>83820</xdr:rowOff>
    </xdr:from>
    <xdr:to>
      <xdr:col>3</xdr:col>
      <xdr:colOff>641985</xdr:colOff>
      <xdr:row>11</xdr:row>
      <xdr:rowOff>166226</xdr:rowOff>
    </xdr:to>
    <xdr:pic>
      <xdr:nvPicPr>
        <xdr:cNvPr id="6" name="Billede 5" descr="Logo JPG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50620" y="1135380"/>
          <a:ext cx="1144905" cy="12635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76202</xdr:colOff>
      <xdr:row>3</xdr:row>
      <xdr:rowOff>85726</xdr:rowOff>
    </xdr:from>
    <xdr:to>
      <xdr:col>4</xdr:col>
      <xdr:colOff>895350</xdr:colOff>
      <xdr:row>8</xdr:row>
      <xdr:rowOff>7007</xdr:rowOff>
    </xdr:to>
    <xdr:pic>
      <xdr:nvPicPr>
        <xdr:cNvPr id="2" name="Billede 1" descr="Logo JPG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1827" y="657226"/>
          <a:ext cx="819148" cy="9118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228600</xdr:rowOff>
        </xdr:from>
        <xdr:to>
          <xdr:col>6</xdr:col>
          <xdr:colOff>1079500</xdr:colOff>
          <xdr:row>2</xdr:row>
          <xdr:rowOff>222250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DD0806"/>
                  </a:solidFill>
                  <a:latin typeface="Calibri"/>
                  <a:ea typeface="Calibri"/>
                  <a:cs typeface="Calibri"/>
                </a:rPr>
                <a:t>Slet indhold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</xdr:col>
          <xdr:colOff>1143000</xdr:colOff>
          <xdr:row>2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Indsæt --&gt;</a:t>
              </a:r>
            </a:p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Indsæt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</xdr:row>
          <xdr:rowOff>12700</xdr:rowOff>
        </xdr:from>
        <xdr:to>
          <xdr:col>4</xdr:col>
          <xdr:colOff>679450</xdr:colOff>
          <xdr:row>2</xdr:row>
          <xdr:rowOff>222250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Næste fakt.nr.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76202</xdr:colOff>
      <xdr:row>3</xdr:row>
      <xdr:rowOff>85726</xdr:rowOff>
    </xdr:from>
    <xdr:to>
      <xdr:col>4</xdr:col>
      <xdr:colOff>895350</xdr:colOff>
      <xdr:row>8</xdr:row>
      <xdr:rowOff>7007</xdr:rowOff>
    </xdr:to>
    <xdr:pic>
      <xdr:nvPicPr>
        <xdr:cNvPr id="2" name="Billede 1" descr="Logo JPG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1827" y="657226"/>
          <a:ext cx="819148" cy="9118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0</xdr:row>
          <xdr:rowOff>222250</xdr:rowOff>
        </xdr:from>
        <xdr:to>
          <xdr:col>6</xdr:col>
          <xdr:colOff>1098550</xdr:colOff>
          <xdr:row>2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DD0806"/>
                  </a:solidFill>
                  <a:latin typeface="Calibri"/>
                  <a:ea typeface="Calibri"/>
                  <a:cs typeface="Calibri"/>
                </a:rPr>
                <a:t>Slet indhold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</xdr:col>
          <xdr:colOff>1143000</xdr:colOff>
          <xdr:row>2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Indsæt --&gt;</a:t>
              </a:r>
            </a:p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Indsæt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</xdr:row>
          <xdr:rowOff>12700</xdr:rowOff>
        </xdr:from>
        <xdr:to>
          <xdr:col>4</xdr:col>
          <xdr:colOff>679450</xdr:colOff>
          <xdr:row>2</xdr:row>
          <xdr:rowOff>222250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Næste fakt.nr.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hyperlink" Target="http://www.seroguld.dk/" TargetMode="External"/><Relationship Id="rId1" Type="http://schemas.openxmlformats.org/officeDocument/2006/relationships/hyperlink" Target="mailto:seroguld@seroguld.dk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hyperlink" Target="http://www.seroguld.dk/" TargetMode="External"/><Relationship Id="rId1" Type="http://schemas.openxmlformats.org/officeDocument/2006/relationships/hyperlink" Target="mailto:seroguld@seroguld.dk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2:L88"/>
  <sheetViews>
    <sheetView showZeros="0" tabSelected="1" topLeftCell="C11" zoomScale="125" zoomScaleNormal="125" zoomScalePageLayoutView="125" workbookViewId="0">
      <selection activeCell="I15" sqref="I15"/>
    </sheetView>
  </sheetViews>
  <sheetFormatPr defaultColWidth="8.81640625" defaultRowHeight="14.5" x14ac:dyDescent="0.35"/>
  <cols>
    <col min="1" max="1" width="4" style="52" customWidth="1"/>
    <col min="2" max="2" width="7.7265625" style="52" bestFit="1" customWidth="1"/>
    <col min="3" max="3" width="13" style="52" customWidth="1"/>
    <col min="4" max="4" width="15.453125" style="52" bestFit="1" customWidth="1"/>
    <col min="5" max="5" width="14.1796875" style="52" customWidth="1"/>
    <col min="6" max="6" width="10.7265625" style="52" customWidth="1"/>
    <col min="7" max="7" width="16.453125" style="52" bestFit="1" customWidth="1"/>
    <col min="8" max="8" width="14.1796875" style="52" customWidth="1"/>
    <col min="9" max="16384" width="8.81640625" style="52"/>
  </cols>
  <sheetData>
    <row r="2" spans="2:8" x14ac:dyDescent="0.35">
      <c r="D2" s="53">
        <f ca="1">TODAY()</f>
        <v>46041</v>
      </c>
    </row>
    <row r="4" spans="2:8" x14ac:dyDescent="0.35">
      <c r="C4" s="54"/>
      <c r="D4" s="54"/>
      <c r="E4" s="54"/>
      <c r="F4" s="54"/>
      <c r="G4" s="54"/>
      <c r="H4" s="54"/>
    </row>
    <row r="5" spans="2:8" ht="22.5" x14ac:dyDescent="0.45">
      <c r="C5" s="120" t="s">
        <v>0</v>
      </c>
      <c r="D5" s="55"/>
      <c r="E5" s="55"/>
      <c r="F5" s="55"/>
      <c r="G5" s="55"/>
      <c r="H5" s="55"/>
    </row>
    <row r="6" spans="2:8" ht="18" customHeight="1" x14ac:dyDescent="0.35">
      <c r="C6" s="54"/>
      <c r="D6" s="54"/>
      <c r="F6" s="54"/>
      <c r="G6" s="54" t="s">
        <v>1</v>
      </c>
      <c r="H6" s="56">
        <v>9756</v>
      </c>
    </row>
    <row r="7" spans="2:8" x14ac:dyDescent="0.35">
      <c r="C7" s="54"/>
      <c r="D7" s="54"/>
      <c r="F7" s="57"/>
      <c r="G7" s="54" t="s">
        <v>2</v>
      </c>
      <c r="H7" s="57">
        <v>46041</v>
      </c>
    </row>
    <row r="8" spans="2:8" x14ac:dyDescent="0.35">
      <c r="C8" s="54"/>
      <c r="D8" s="54"/>
      <c r="F8" s="54"/>
      <c r="H8" s="54"/>
    </row>
    <row r="9" spans="2:8" x14ac:dyDescent="0.35">
      <c r="C9" s="54"/>
      <c r="D9" s="54"/>
      <c r="F9" s="54"/>
      <c r="H9" s="54"/>
    </row>
    <row r="10" spans="2:8" x14ac:dyDescent="0.35">
      <c r="C10" s="54"/>
      <c r="D10" s="54"/>
      <c r="F10" s="54"/>
      <c r="H10" s="54"/>
    </row>
    <row r="11" spans="2:8" x14ac:dyDescent="0.35">
      <c r="C11" s="54"/>
      <c r="D11" s="54"/>
      <c r="F11" s="54"/>
      <c r="H11" s="54"/>
    </row>
    <row r="12" spans="2:8" x14ac:dyDescent="0.35">
      <c r="B12" s="58" t="s">
        <v>3</v>
      </c>
      <c r="C12" s="54"/>
      <c r="D12" s="54"/>
      <c r="F12" s="54"/>
      <c r="H12" s="54"/>
    </row>
    <row r="13" spans="2:8" ht="18.5" x14ac:dyDescent="0.45">
      <c r="B13" s="58" t="s">
        <v>4</v>
      </c>
      <c r="C13" s="123" t="s">
        <v>5</v>
      </c>
      <c r="D13" s="123"/>
      <c r="E13" s="54"/>
      <c r="F13" s="54"/>
      <c r="G13" s="54"/>
      <c r="H13" s="54"/>
    </row>
    <row r="14" spans="2:8" x14ac:dyDescent="0.35">
      <c r="B14" s="58" t="s">
        <v>6</v>
      </c>
      <c r="C14" s="124" t="s">
        <v>7</v>
      </c>
      <c r="D14" s="124"/>
      <c r="E14" s="55"/>
      <c r="F14" s="55"/>
      <c r="H14" s="54"/>
    </row>
    <row r="15" spans="2:8" x14ac:dyDescent="0.35">
      <c r="B15" s="58"/>
      <c r="C15" s="97"/>
      <c r="D15" s="97"/>
      <c r="E15" s="55"/>
      <c r="F15" s="55"/>
      <c r="H15" s="54"/>
    </row>
    <row r="16" spans="2:8" x14ac:dyDescent="0.35">
      <c r="B16" s="58" t="s">
        <v>8</v>
      </c>
      <c r="C16" s="54" t="s">
        <v>9</v>
      </c>
      <c r="D16" s="54"/>
      <c r="F16" s="54" t="s">
        <v>10</v>
      </c>
      <c r="G16" s="54"/>
      <c r="H16" s="54"/>
    </row>
    <row r="17" spans="1:12" x14ac:dyDescent="0.35">
      <c r="B17" s="58" t="s">
        <v>11</v>
      </c>
      <c r="C17" s="54" t="s">
        <v>12</v>
      </c>
      <c r="D17" s="54"/>
      <c r="F17" s="54" t="s">
        <v>13</v>
      </c>
      <c r="G17" s="54"/>
      <c r="H17" s="54"/>
    </row>
    <row r="18" spans="1:12" x14ac:dyDescent="0.35">
      <c r="B18" s="58" t="s">
        <v>14</v>
      </c>
      <c r="C18" s="54" t="s">
        <v>15</v>
      </c>
      <c r="D18" s="54"/>
      <c r="F18" s="54" t="s">
        <v>16</v>
      </c>
      <c r="G18" s="54"/>
      <c r="H18" s="54"/>
    </row>
    <row r="19" spans="1:12" ht="15" thickBot="1" x14ac:dyDescent="0.4">
      <c r="B19" s="58" t="s">
        <v>17</v>
      </c>
      <c r="C19" s="54"/>
      <c r="D19" s="55"/>
      <c r="E19" s="54"/>
      <c r="F19" s="54" t="s">
        <v>18</v>
      </c>
      <c r="G19" s="54"/>
      <c r="H19" s="121"/>
    </row>
    <row r="20" spans="1:12" s="59" customFormat="1" x14ac:dyDescent="0.35">
      <c r="A20" s="1"/>
      <c r="B20" s="60" t="s">
        <v>19</v>
      </c>
      <c r="C20" s="98" t="s">
        <v>20</v>
      </c>
      <c r="D20" s="99" t="s">
        <v>21</v>
      </c>
      <c r="E20" s="99" t="s">
        <v>22</v>
      </c>
      <c r="F20" s="99" t="s">
        <v>23</v>
      </c>
      <c r="G20" s="99" t="s">
        <v>24</v>
      </c>
      <c r="H20" s="100" t="s">
        <v>25</v>
      </c>
      <c r="I20" s="1"/>
      <c r="J20" s="102" t="s">
        <v>26</v>
      </c>
      <c r="K20" s="103"/>
      <c r="L20" s="104"/>
    </row>
    <row r="21" spans="1:12" x14ac:dyDescent="0.35">
      <c r="A21" s="54"/>
      <c r="B21" s="54"/>
      <c r="C21" s="61"/>
      <c r="D21" s="62"/>
      <c r="E21" s="63"/>
      <c r="F21" s="62"/>
      <c r="G21" s="63"/>
      <c r="H21" s="64"/>
      <c r="J21" s="105" t="s">
        <v>27</v>
      </c>
      <c r="K21" s="106" t="s">
        <v>28</v>
      </c>
      <c r="L21" s="107" t="s">
        <v>29</v>
      </c>
    </row>
    <row r="22" spans="1:12" x14ac:dyDescent="0.35">
      <c r="A22" s="54">
        <v>1</v>
      </c>
      <c r="B22" s="65">
        <v>0.14449999999999999</v>
      </c>
      <c r="C22" s="66" t="str">
        <f>IF(A22,VLOOKUP(A22,'Variable værdier'!$A$4:$B$12,2,3),"")</f>
        <v>Guld</v>
      </c>
      <c r="D22" s="67">
        <v>8</v>
      </c>
      <c r="E22" s="66">
        <f>IF(A22,IF(A22=1,IF(D22=14,585,CEILING((D22/24)*999,1)),IF(D22,D22,VLOOKUP(A22,'Variable værdier'!$A$4:$D$12,4))),0)</f>
        <v>333</v>
      </c>
      <c r="F22" s="68"/>
      <c r="G22" s="69">
        <f>ROUND(IF(A22=1,('Variable værdier'!$C$4*Afregningsbilag!D22/24)*IF(B22,(1-B22),(1-'Variable værdier'!$E$4)),IF(A22=2,'Variable værdier'!$C$5*Afregningsbilag!E22/'Variable værdier'!$D$5*IF(B22,(1-B22),(1-'Variable værdier'!$E$4)),IF(A22=3,'Variable værdier'!$C$6*IF(B22,(1-B22),(1-'Variable værdier'!$E$4)),IF(A22=4,'Variable værdier'!$C$7*IF(B22,(1-B22),(1-'Variable værdier'!$E$4)))))),2)</f>
        <v>267.69</v>
      </c>
      <c r="H22" s="69">
        <f>ROUND(F22*G22,2)</f>
        <v>0</v>
      </c>
      <c r="J22" s="108">
        <v>10</v>
      </c>
      <c r="K22" s="95"/>
      <c r="L22" s="109">
        <f>+K22*J22</f>
        <v>0</v>
      </c>
    </row>
    <row r="23" spans="1:12" x14ac:dyDescent="0.35">
      <c r="A23" s="54">
        <v>1</v>
      </c>
      <c r="B23" s="65">
        <v>8.5000000000000006E-2</v>
      </c>
      <c r="C23" s="66" t="str">
        <f>IF(A23,VLOOKUP(A23,'Variable værdier'!$A$4:$B$12,2,3),"")</f>
        <v>Guld</v>
      </c>
      <c r="D23" s="67">
        <v>14</v>
      </c>
      <c r="E23" s="66">
        <f>IF(A23,IF(A23=1,IF(D23=14,585,CEILING((D23/24)*999,1)),IF(D23,D23,VLOOKUP(A23,'Variable værdier'!$A$4:$D$12,4))),0)</f>
        <v>585</v>
      </c>
      <c r="F23" s="68"/>
      <c r="G23" s="69">
        <f>ROUND(IF(A23=1,('Variable værdier'!$C$4*Afregningsbilag!D23/24)*IF(B23,(1-B23),(1-'Variable værdier'!$E$4)),IF(A23=2,'Variable værdier'!$C$5*Afregningsbilag!E23/'Variable værdier'!$D$5*IF(B23,(1-B23),(1-'Variable værdier'!$E$4)),IF(A23=3,'Variable værdier'!$C$6*IF(B23,(1-B23),(1-'Variable værdier'!$E$4)),IF(A23=4,'Variable værdier'!$C$7*IF(B23,(1-B23),(1-'Variable værdier'!$E$4)))))),2)</f>
        <v>501.03</v>
      </c>
      <c r="H23" s="69">
        <f t="shared" ref="H23:H37" si="0">ROUND(F23*G23,2)</f>
        <v>0</v>
      </c>
      <c r="J23" s="108">
        <v>13</v>
      </c>
      <c r="K23" s="95"/>
      <c r="L23" s="109">
        <f t="shared" ref="L23:L26" si="1">+K23*J23</f>
        <v>0</v>
      </c>
    </row>
    <row r="24" spans="1:12" x14ac:dyDescent="0.35">
      <c r="A24" s="54">
        <v>1</v>
      </c>
      <c r="B24" s="65">
        <v>0.11715</v>
      </c>
      <c r="C24" s="66" t="str">
        <f>IF(A24,VLOOKUP(A24,'Variable værdier'!$A$4:$B$12,2,3),"")</f>
        <v>Guld</v>
      </c>
      <c r="D24" s="67">
        <v>18</v>
      </c>
      <c r="E24" s="66">
        <f>IF(A24,IF(A24=1,IF(D24=14,585,CEILING((D24/24)*999,1)),IF(D24,D24,VLOOKUP(A24,'Variable værdier'!$A$4:$D$12,4))),0)</f>
        <v>750</v>
      </c>
      <c r="F24" s="68"/>
      <c r="G24" s="69">
        <f>ROUND(IF(A24=1,('Variable værdier'!$C$4*Afregningsbilag!D24/24)*IF(B24,(1-B24),(1-'Variable værdier'!$E$4)),IF(A24=2,'Variable værdier'!$C$5*Afregningsbilag!E24/'Variable værdier'!$D$5*IF(B24,(1-B24),(1-'Variable værdier'!$E$4)),IF(A24=3,'Variable værdier'!$C$6*IF(B24,(1-B24),(1-'Variable værdier'!$E$4)),IF(A24=4,'Variable værdier'!$C$7*IF(B24,(1-B24),(1-'Variable værdier'!$E$4)))))),2)</f>
        <v>621.54999999999995</v>
      </c>
      <c r="H24" s="69">
        <f t="shared" si="0"/>
        <v>0</v>
      </c>
      <c r="J24" s="108">
        <v>16</v>
      </c>
      <c r="K24" s="95"/>
      <c r="L24" s="109">
        <f t="shared" si="1"/>
        <v>0</v>
      </c>
    </row>
    <row r="25" spans="1:12" x14ac:dyDescent="0.35">
      <c r="A25" s="54">
        <v>1</v>
      </c>
      <c r="B25" s="65">
        <v>0.13835</v>
      </c>
      <c r="C25" s="66" t="str">
        <f>IF(A25,VLOOKUP(A25,'Variable værdier'!$A$4:$B$12,2,3),"")</f>
        <v>Guld</v>
      </c>
      <c r="D25" s="67">
        <v>21</v>
      </c>
      <c r="E25" s="66">
        <f>IF(A25,IF(A25=1,IF(D25=14,585,CEILING((D25/24)*999,1)),IF(D25,D25,VLOOKUP(A25,'Variable værdier'!$A$4:$D$12,4))),0)</f>
        <v>875</v>
      </c>
      <c r="F25" s="68"/>
      <c r="G25" s="69">
        <f>ROUND(IF(A25=1,('Variable værdier'!$C$4*Afregningsbilag!D25/24)*IF(B25,(1-B25),(1-'Variable værdier'!$E$4)),IF(A25=2,'Variable værdier'!$C$5*Afregningsbilag!E25/'Variable værdier'!$D$5*IF(B25,(1-B25),(1-'Variable værdier'!$E$4)),IF(A25=3,'Variable værdier'!$C$6*IF(B25,(1-B25),(1-'Variable værdier'!$E$4)),IF(A25=4,'Variable værdier'!$C$7*IF(B25,(1-B25),(1-'Variable værdier'!$E$4)))))),2)</f>
        <v>707.73</v>
      </c>
      <c r="H25" s="69">
        <f t="shared" si="0"/>
        <v>0</v>
      </c>
      <c r="J25" s="110">
        <v>17</v>
      </c>
      <c r="K25" s="106"/>
      <c r="L25" s="109">
        <f t="shared" si="1"/>
        <v>0</v>
      </c>
    </row>
    <row r="26" spans="1:12" x14ac:dyDescent="0.35">
      <c r="A26" s="54">
        <v>1</v>
      </c>
      <c r="B26" s="65">
        <v>0.1</v>
      </c>
      <c r="C26" s="66" t="str">
        <f>IF(A26,VLOOKUP(A26,'Variable værdier'!$A$4:$B$12,2,3),"")</f>
        <v>Guld</v>
      </c>
      <c r="D26" s="67">
        <v>21.6</v>
      </c>
      <c r="E26" s="66">
        <f>IF(A26,IF(A26=1,IF(D26=14,585,CEILING((D26/24)*999,1)),IF(D26,D26,VLOOKUP(A26,'Variable værdier'!$A$4:$D$12,4))),0)</f>
        <v>900</v>
      </c>
      <c r="F26" s="68"/>
      <c r="G26" s="69">
        <f>ROUND(IF(A26=1,('Variable værdier'!$C$4*Afregningsbilag!D26/24)*IF(B26,(1-B26),(1-'Variable værdier'!$E$4)),IF(A26=2,'Variable værdier'!$C$5*Afregningsbilag!E26/'Variable værdier'!$D$5*IF(B26,(1-B26),(1-'Variable værdier'!$E$4)),IF(A26=3,'Variable værdier'!$C$6*IF(B26,(1-B26),(1-'Variable værdier'!$E$4)),IF(A26=4,'Variable værdier'!$C$7*IF(B26,(1-B26),(1-'Variable værdier'!$E$4)))))),2)</f>
        <v>760.35</v>
      </c>
      <c r="H26" s="69">
        <f t="shared" si="0"/>
        <v>0</v>
      </c>
      <c r="J26" s="110">
        <v>20</v>
      </c>
      <c r="K26" s="106"/>
      <c r="L26" s="109">
        <f t="shared" si="1"/>
        <v>0</v>
      </c>
    </row>
    <row r="27" spans="1:12" ht="15" thickBot="1" x14ac:dyDescent="0.4">
      <c r="A27" s="54">
        <v>1</v>
      </c>
      <c r="B27" s="65">
        <v>0.08</v>
      </c>
      <c r="C27" s="66" t="str">
        <f>IF(A27,VLOOKUP(A27,'Variable værdier'!$A$4:$B$12,2,3),"")</f>
        <v>Guld</v>
      </c>
      <c r="D27" s="67">
        <v>22</v>
      </c>
      <c r="E27" s="66">
        <f>IF(A27,IF(A27=1,IF(D27=14,585,CEILING((D27/24)*999,1)),IF(D27,D27,VLOOKUP(A27,'Variable værdier'!$A$4:$D$12,4))),0)</f>
        <v>916</v>
      </c>
      <c r="F27" s="68"/>
      <c r="G27" s="69">
        <f>ROUND(IF(A27=1,('Variable værdier'!$C$4*Afregningsbilag!D27/24)*IF(B27,(1-B27),(1-'Variable værdier'!$E$4)),IF(A27=2,'Variable værdier'!$C$5*Afregningsbilag!E27/'Variable værdier'!$D$5*IF(B27,(1-B27),(1-'Variable værdier'!$E$4)),IF(A27=3,'Variable værdier'!$C$6*IF(B27,(1-B27),(1-'Variable værdier'!$E$4)),IF(A27=4,'Variable værdier'!$C$7*IF(B27,(1-B27),(1-'Variable værdier'!$E$4)))))),2)</f>
        <v>791.64</v>
      </c>
      <c r="H27" s="69">
        <f t="shared" si="0"/>
        <v>0</v>
      </c>
      <c r="J27" s="111" t="s">
        <v>25</v>
      </c>
      <c r="K27" s="112"/>
      <c r="L27" s="113">
        <f>SUM(L22:L26)</f>
        <v>0</v>
      </c>
    </row>
    <row r="28" spans="1:12" x14ac:dyDescent="0.35">
      <c r="A28" s="54">
        <v>1</v>
      </c>
      <c r="B28" s="65">
        <v>2.9000000000000001E-2</v>
      </c>
      <c r="C28" s="66" t="str">
        <f>IF(A28,VLOOKUP(A28,'Variable værdier'!$A$4:$B$12,2,3),"")</f>
        <v>Guld</v>
      </c>
      <c r="D28" s="67">
        <v>24</v>
      </c>
      <c r="E28" s="66">
        <f>IF(A28,IF(A28=1,IF(D28=14,585,CEILING((D28/24)*999,1)),IF(D28,D28,VLOOKUP(A28,'Variable værdier'!$A$4:$D$12,4))),0)</f>
        <v>999</v>
      </c>
      <c r="F28" s="68"/>
      <c r="G28" s="69">
        <f>ROUND(IF(A28=1,('Variable værdier'!$C$4*Afregningsbilag!D28/24)*IF(B28,(1-B28),(1-'Variable værdier'!$E$4)),IF(A28=2,'Variable værdier'!$C$5*Afregningsbilag!E28/'Variable værdier'!$D$5*IF(B28,(1-B28),(1-'Variable værdier'!$E$4)),IF(A28=3,'Variable værdier'!$C$6*IF(B28,(1-B28),(1-'Variable værdier'!$E$4)),IF(A28=4,'Variable værdier'!$C$7*IF(B28,(1-B28),(1-'Variable værdier'!$E$4)))))),2)</f>
        <v>911.48</v>
      </c>
      <c r="H28" s="69">
        <f t="shared" si="0"/>
        <v>0</v>
      </c>
    </row>
    <row r="29" spans="1:12" ht="7.5" customHeight="1" thickBot="1" x14ac:dyDescent="0.4">
      <c r="A29" s="54"/>
      <c r="B29" s="65"/>
      <c r="C29" s="115"/>
      <c r="D29" s="116"/>
      <c r="E29" s="115"/>
      <c r="F29" s="117"/>
      <c r="G29" s="118"/>
      <c r="H29" s="118"/>
    </row>
    <row r="30" spans="1:12" x14ac:dyDescent="0.35">
      <c r="A30" s="54">
        <v>2</v>
      </c>
      <c r="B30" s="70"/>
      <c r="C30" s="71" t="str">
        <f>IF(A30,VLOOKUP(A30,'Variable værdier'!$A$4:$B$12,2,3),"")</f>
        <v>Finsølv</v>
      </c>
      <c r="D30" s="72"/>
      <c r="E30" s="71">
        <f>IF(A30,IF(A30=1,IF(D30=14,585,CEILING((D30/24)*999,1)),IF(D30,D30,VLOOKUP(A30,'Variable værdier'!$A$4:$D$12,4))),0)</f>
        <v>999</v>
      </c>
      <c r="F30" s="73"/>
      <c r="G30" s="74">
        <v>17</v>
      </c>
      <c r="H30" s="74">
        <f t="shared" si="0"/>
        <v>0</v>
      </c>
      <c r="J30" s="102" t="s">
        <v>30</v>
      </c>
      <c r="K30" s="103"/>
      <c r="L30" s="104"/>
    </row>
    <row r="31" spans="1:12" x14ac:dyDescent="0.35">
      <c r="A31" s="54">
        <v>3</v>
      </c>
      <c r="B31" s="70"/>
      <c r="C31" s="71" t="str">
        <f>IF(A31,VLOOKUP(A31,'Variable værdier'!$A$4:$B$12,2,3),"")</f>
        <v>Sterling sølv</v>
      </c>
      <c r="D31" s="72"/>
      <c r="E31" s="71">
        <f>IF(A31,IF(A31=1,IF(D31=14,585,CEILING((D31/24)*999,1)),IF(D31,D31,VLOOKUP(A31,'Variable værdier'!$A$4:$D$12,4))),0)</f>
        <v>925</v>
      </c>
      <c r="F31" s="73"/>
      <c r="G31" s="74">
        <v>14.1</v>
      </c>
      <c r="H31" s="74">
        <f t="shared" si="0"/>
        <v>0</v>
      </c>
      <c r="J31" s="105" t="s">
        <v>27</v>
      </c>
      <c r="K31" s="106" t="s">
        <v>28</v>
      </c>
      <c r="L31" s="107" t="s">
        <v>29</v>
      </c>
    </row>
    <row r="32" spans="1:12" x14ac:dyDescent="0.35">
      <c r="A32" s="54">
        <v>4</v>
      </c>
      <c r="B32" s="70"/>
      <c r="C32" s="71" t="str">
        <f>IF(A32,VLOOKUP(A32,'Variable værdier'!$A$4:$B$12,2,3),"")</f>
        <v>3 tårnet sølv</v>
      </c>
      <c r="D32" s="72"/>
      <c r="E32" s="71">
        <f>IF(A32,IF(A32=1,IF(D32=14,585,CEILING((D32/24)*999,1)),IF(D32,D32,VLOOKUP(A32,'Variable værdier'!$A$4:$D$12,4))),0)</f>
        <v>830</v>
      </c>
      <c r="F32" s="73"/>
      <c r="G32" s="74">
        <v>12.6</v>
      </c>
      <c r="H32" s="74">
        <f t="shared" si="0"/>
        <v>0</v>
      </c>
      <c r="J32" s="105">
        <v>1.754</v>
      </c>
      <c r="K32" s="106"/>
      <c r="L32" s="107">
        <f>+K32*J32</f>
        <v>0</v>
      </c>
    </row>
    <row r="33" spans="1:12" x14ac:dyDescent="0.35">
      <c r="A33" s="54">
        <v>5</v>
      </c>
      <c r="B33" s="70"/>
      <c r="C33" s="71" t="s">
        <v>31</v>
      </c>
      <c r="D33" s="72"/>
      <c r="E33" s="71">
        <f>IF(A33,IF(A33=1,IF(D33=14,585,CEILING((D33/24)*999,1)),IF(D33,D33,VLOOKUP(A33,'Variable værdier'!$A$4:$D$12,4))),0)</f>
        <v>0</v>
      </c>
      <c r="F33" s="73"/>
      <c r="G33" s="74">
        <v>0.02</v>
      </c>
      <c r="H33" s="74">
        <f t="shared" si="0"/>
        <v>0</v>
      </c>
      <c r="J33" s="108">
        <v>3.508</v>
      </c>
      <c r="K33" s="95"/>
      <c r="L33" s="109">
        <f>+K33*J33</f>
        <v>0</v>
      </c>
    </row>
    <row r="34" spans="1:12" x14ac:dyDescent="0.35">
      <c r="A34" s="54"/>
      <c r="B34" s="70"/>
      <c r="C34" s="71" t="str">
        <f>IF(A34,VLOOKUP(A34,'Variable værdier'!$A$4:$B$12,2,3),"")</f>
        <v/>
      </c>
      <c r="D34" s="72"/>
      <c r="E34" s="71">
        <f>IF(A34,IF(A34=1,IF(D34=14,585,CEILING((D34/24)*999,1)),IF(D34,D34,VLOOKUP(A34,'Variable værdier'!$A$4:$D$12,4))),0)</f>
        <v>0</v>
      </c>
      <c r="F34" s="73"/>
      <c r="G34" s="74">
        <f>ROUND(IF(A34=1,('Variable værdier'!$C$4*Afregningsbilag!D34/24)*IF(B34,(1-B34),(1-'Variable værdier'!$E$4)),IF(A34=2,'Variable værdier'!$C$5*Afregningsbilag!E34/'Variable værdier'!$D$5*IF(B34,(1-B34),(1-'Variable værdier'!$E$4)),IF(A34=3,'Variable værdier'!$C$6*IF(B34,(1-B34),(1-'Variable værdier'!$E$4)),IF(A34=4,'Variable værdier'!$C$7*IF(B34,(1-B34),(1-'Variable værdier'!$E$4)))))),2)</f>
        <v>0</v>
      </c>
      <c r="H34" s="74">
        <f t="shared" si="0"/>
        <v>0</v>
      </c>
      <c r="J34" s="108">
        <v>7.016</v>
      </c>
      <c r="K34" s="95"/>
      <c r="L34" s="109">
        <f t="shared" ref="L34:L37" si="2">+K34*J34</f>
        <v>0</v>
      </c>
    </row>
    <row r="35" spans="1:12" x14ac:dyDescent="0.35">
      <c r="A35" s="54"/>
      <c r="B35" s="70"/>
      <c r="C35" s="71" t="str">
        <f>IF(A35,VLOOKUP(A35,'Variable værdier'!$A$4:$B$12,2,3),"")</f>
        <v/>
      </c>
      <c r="D35" s="72"/>
      <c r="E35" s="71">
        <f>IF(A35,IF(A35=1,IF(D35=14,585,CEILING((D35/24)*999,1)),IF(D35,D35,VLOOKUP(A35,'Variable værdier'!$A$4:$D$12,4))),0)</f>
        <v>0</v>
      </c>
      <c r="F35" s="73"/>
      <c r="G35" s="74">
        <f>ROUND(IF(A35=1,('Variable værdier'!$C$4*Afregningsbilag!D35/24)*IF(B35,(1-B35),(1-'Variable værdier'!$E$4)),IF(A35=2,'Variable værdier'!$C$5*Afregningsbilag!E35/'Variable værdier'!$D$5*IF(B35,(1-B35),(1-'Variable værdier'!$E$4)),IF(A35=3,'Variable værdier'!$C$6*IF(B35,(1-B35),(1-'Variable værdier'!$E$4)),IF(A35=4,'Variable værdier'!$C$7*IF(B35,(1-B35),(1-'Variable værdier'!$E$4)))))),2)</f>
        <v>0</v>
      </c>
      <c r="H35" s="74">
        <f t="shared" si="0"/>
        <v>0</v>
      </c>
      <c r="J35" s="108">
        <v>17.54</v>
      </c>
      <c r="K35" s="95"/>
      <c r="L35" s="109">
        <f t="shared" si="2"/>
        <v>0</v>
      </c>
    </row>
    <row r="36" spans="1:12" x14ac:dyDescent="0.35">
      <c r="A36" s="54"/>
      <c r="B36" s="70"/>
      <c r="C36" s="71" t="str">
        <f>IF(A36,VLOOKUP(A36,'Variable værdier'!$A$4:$B$12,2,3),"")</f>
        <v/>
      </c>
      <c r="D36" s="72"/>
      <c r="E36" s="71">
        <f>IF(A36,IF(A36=1,IF(D36=14,585,CEILING((D36/24)*999,1)),IF(D36,D36,VLOOKUP(A36,'Variable værdier'!$A$4:$D$12,4))),0)</f>
        <v>0</v>
      </c>
      <c r="F36" s="73"/>
      <c r="G36" s="74">
        <f>ROUND(IF(A36=1,('Variable værdier'!$C$4*Afregningsbilag!D36/24)*IF(B36,(1-B36),(1-'Variable værdier'!$E$4)),IF(A36=2,'Variable værdier'!$C$5*Afregningsbilag!E36/'Variable værdier'!$D$5*IF(B36,(1-B36),(1-'Variable værdier'!$E$4)),IF(A36=3,'Variable værdier'!$C$6*IF(B36,(1-B36),(1-'Variable værdier'!$E$4)),IF(A36=4,'Variable værdier'!$C$7*IF(B36,(1-B36),(1-'Variable værdier'!$E$4)))))),2)</f>
        <v>0</v>
      </c>
      <c r="H36" s="74">
        <f t="shared" si="0"/>
        <v>0</v>
      </c>
      <c r="J36" s="110"/>
      <c r="K36" s="106"/>
      <c r="L36" s="109">
        <f t="shared" si="2"/>
        <v>0</v>
      </c>
    </row>
    <row r="37" spans="1:12" x14ac:dyDescent="0.35">
      <c r="A37" s="54"/>
      <c r="B37" s="70"/>
      <c r="C37" s="75" t="str">
        <f>IF(A37,VLOOKUP(A37,'Variable værdier'!$A$4:$B$12,2,3),"")</f>
        <v/>
      </c>
      <c r="D37" s="76"/>
      <c r="E37" s="77">
        <f>IF(A37,IF(A37=1,IF(D37=14,585,CEILING((D37/24)*999,1)),IF(D37,D37,VLOOKUP(A37,'Variable værdier'!$A$4:$D$12,4))),0)</f>
        <v>0</v>
      </c>
      <c r="F37" s="78"/>
      <c r="G37" s="79">
        <f>ROUND(IF(A37=1,('Variable værdier'!$C$4*Afregningsbilag!D37/24)*IF(B37,(1-B37),(1-'Variable værdier'!$E$4)),IF(A37=2,'Variable værdier'!$C$5*Afregningsbilag!E37/'Variable værdier'!$D$5*IF(B37,(1-B37),(1-'Variable værdier'!$E$4)),IF(A37=3,'Variable værdier'!$C$6*IF(B37,(1-B37),(1-'Variable værdier'!$E$4)),IF(A37=4,'Variable værdier'!$C$7*IF(B37,(1-B37),(1-'Variable værdier'!$E$4)))))),2)</f>
        <v>0</v>
      </c>
      <c r="H37" s="80">
        <f t="shared" si="0"/>
        <v>0</v>
      </c>
      <c r="J37" s="110"/>
      <c r="K37" s="106"/>
      <c r="L37" s="109">
        <f t="shared" si="2"/>
        <v>0</v>
      </c>
    </row>
    <row r="38" spans="1:12" ht="15" thickBot="1" x14ac:dyDescent="0.4">
      <c r="C38" s="81" t="s">
        <v>25</v>
      </c>
      <c r="D38" s="82"/>
      <c r="E38" s="82"/>
      <c r="F38" s="83">
        <f>SUM(F22:F37)</f>
        <v>0</v>
      </c>
      <c r="G38" s="82"/>
      <c r="H38" s="84">
        <f>SUM(H22:H37)</f>
        <v>0</v>
      </c>
      <c r="J38" s="111" t="s">
        <v>25</v>
      </c>
      <c r="K38" s="112"/>
      <c r="L38" s="113">
        <f>SUM(L32:L37)</f>
        <v>0</v>
      </c>
    </row>
    <row r="39" spans="1:12" ht="15" thickTop="1" x14ac:dyDescent="0.35">
      <c r="G39" s="85"/>
      <c r="H39" s="79"/>
    </row>
    <row r="40" spans="1:12" ht="18.75" customHeight="1" x14ac:dyDescent="0.35">
      <c r="C40" s="20" t="s">
        <v>32</v>
      </c>
      <c r="D40" s="101">
        <f>+H43</f>
        <v>0</v>
      </c>
      <c r="E40" s="54"/>
      <c r="F40" s="54"/>
      <c r="G40" s="85" t="s">
        <v>33</v>
      </c>
      <c r="H40" s="79">
        <f>H38</f>
        <v>0</v>
      </c>
    </row>
    <row r="41" spans="1:12" ht="18.75" customHeight="1" x14ac:dyDescent="0.35">
      <c r="C41" s="20" t="s">
        <v>34</v>
      </c>
      <c r="D41" s="54"/>
      <c r="E41" s="54"/>
      <c r="F41" s="54"/>
      <c r="G41" s="85"/>
      <c r="H41" s="79"/>
    </row>
    <row r="42" spans="1:12" ht="18.75" customHeight="1" x14ac:dyDescent="0.35">
      <c r="A42" s="54"/>
      <c r="B42" s="54"/>
      <c r="C42" s="20" t="s">
        <v>35</v>
      </c>
      <c r="D42" s="54"/>
      <c r="E42" s="54"/>
      <c r="F42" s="54"/>
      <c r="G42" s="85" t="s">
        <v>36</v>
      </c>
      <c r="H42" s="86">
        <f>IF(A42,ROUND(H40*25%,2),0)</f>
        <v>0</v>
      </c>
    </row>
    <row r="43" spans="1:12" ht="18.75" customHeight="1" thickBot="1" x14ac:dyDescent="0.4">
      <c r="D43" s="54"/>
      <c r="E43" s="54"/>
      <c r="F43" s="54"/>
      <c r="G43" s="87" t="s">
        <v>25</v>
      </c>
      <c r="H43" s="88">
        <f>SUM(H40:H42)</f>
        <v>0</v>
      </c>
    </row>
    <row r="44" spans="1:12" ht="15" thickTop="1" x14ac:dyDescent="0.35">
      <c r="C44" s="54"/>
      <c r="D44" s="54"/>
      <c r="E44" s="54"/>
      <c r="F44" s="54"/>
      <c r="G44" s="85"/>
      <c r="H44" s="85"/>
    </row>
    <row r="45" spans="1:12" x14ac:dyDescent="0.35">
      <c r="G45" s="85"/>
      <c r="H45" s="85"/>
    </row>
    <row r="46" spans="1:12" x14ac:dyDescent="0.35">
      <c r="C46" s="122" t="s">
        <v>37</v>
      </c>
      <c r="D46" s="89"/>
      <c r="E46" s="89"/>
      <c r="F46" s="89"/>
      <c r="G46" s="85"/>
      <c r="H46" s="85"/>
    </row>
    <row r="47" spans="1:12" x14ac:dyDescent="0.35">
      <c r="C47" s="16" t="s">
        <v>38</v>
      </c>
      <c r="G47" s="85"/>
      <c r="H47" s="85"/>
    </row>
    <row r="48" spans="1:12" x14ac:dyDescent="0.35">
      <c r="C48" s="16" t="s">
        <v>39</v>
      </c>
      <c r="G48" s="85"/>
      <c r="H48" s="85"/>
    </row>
    <row r="49" spans="3:8" x14ac:dyDescent="0.35">
      <c r="C49" s="90" t="s">
        <v>40</v>
      </c>
      <c r="G49" s="85"/>
      <c r="H49" s="85"/>
    </row>
    <row r="50" spans="3:8" x14ac:dyDescent="0.35">
      <c r="C50" s="16"/>
      <c r="H50" s="85"/>
    </row>
    <row r="51" spans="3:8" x14ac:dyDescent="0.35">
      <c r="G51" s="85"/>
      <c r="H51" s="85"/>
    </row>
    <row r="52" spans="3:8" x14ac:dyDescent="0.35">
      <c r="H52" s="85"/>
    </row>
    <row r="53" spans="3:8" x14ac:dyDescent="0.35">
      <c r="C53" s="119" t="s">
        <v>41</v>
      </c>
      <c r="D53" s="119"/>
      <c r="E53" s="119"/>
      <c r="F53" s="119"/>
      <c r="G53" s="119"/>
      <c r="H53" s="85"/>
    </row>
    <row r="54" spans="3:8" x14ac:dyDescent="0.35">
      <c r="C54" t="s">
        <v>42</v>
      </c>
      <c r="H54" s="85"/>
    </row>
    <row r="55" spans="3:8" x14ac:dyDescent="0.35">
      <c r="H55" s="85"/>
    </row>
    <row r="74" spans="4:10" x14ac:dyDescent="0.35">
      <c r="D74" s="91" t="s">
        <v>43</v>
      </c>
      <c r="E74" s="91" t="s">
        <v>44</v>
      </c>
      <c r="F74" s="91" t="s">
        <v>45</v>
      </c>
      <c r="G74" s="92" t="s">
        <v>46</v>
      </c>
      <c r="H74" s="92" t="s">
        <v>47</v>
      </c>
      <c r="I74" s="92" t="s">
        <v>48</v>
      </c>
    </row>
    <row r="75" spans="4:10" x14ac:dyDescent="0.35">
      <c r="D75" s="93">
        <f>SUM(F22:F28)</f>
        <v>0</v>
      </c>
      <c r="E75" s="93">
        <f>SUM(H22:H28)</f>
        <v>0</v>
      </c>
      <c r="F75" s="94">
        <f>+F88</f>
        <v>0</v>
      </c>
      <c r="G75" s="93">
        <f>+SUM(I79:I81)</f>
        <v>0</v>
      </c>
      <c r="H75" s="93">
        <f>SUM(H30:H36)</f>
        <v>0</v>
      </c>
      <c r="I75" s="94">
        <f>+J82</f>
        <v>0</v>
      </c>
    </row>
    <row r="78" spans="4:10" x14ac:dyDescent="0.35">
      <c r="D78" s="95" t="s">
        <v>49</v>
      </c>
      <c r="E78" s="95" t="s">
        <v>50</v>
      </c>
      <c r="F78" s="95" t="s">
        <v>51</v>
      </c>
      <c r="H78" s="95" t="s">
        <v>52</v>
      </c>
      <c r="I78" s="95" t="s">
        <v>50</v>
      </c>
      <c r="J78" s="95" t="s">
        <v>48</v>
      </c>
    </row>
    <row r="79" spans="4:10" x14ac:dyDescent="0.35">
      <c r="D79" s="95">
        <v>8</v>
      </c>
      <c r="E79" s="96">
        <f>+F22</f>
        <v>0</v>
      </c>
      <c r="F79" s="95">
        <f>SUM(E79*0.333)</f>
        <v>0</v>
      </c>
      <c r="H79" s="95" t="s">
        <v>48</v>
      </c>
      <c r="I79" s="96">
        <f>+F30</f>
        <v>0</v>
      </c>
      <c r="J79" s="95">
        <f>SUM(I79*0.999)</f>
        <v>0</v>
      </c>
    </row>
    <row r="80" spans="4:10" x14ac:dyDescent="0.35">
      <c r="D80" s="95">
        <v>9</v>
      </c>
      <c r="E80" s="96"/>
      <c r="F80" s="95">
        <f>SUM(E80*0.375)</f>
        <v>0</v>
      </c>
      <c r="H80" s="95" t="s">
        <v>53</v>
      </c>
      <c r="I80" s="96">
        <f>+F31</f>
        <v>0</v>
      </c>
      <c r="J80" s="95">
        <f>SUM(I80*0.925)</f>
        <v>0</v>
      </c>
    </row>
    <row r="81" spans="4:10" x14ac:dyDescent="0.35">
      <c r="D81" s="95">
        <v>10</v>
      </c>
      <c r="E81" s="95"/>
      <c r="F81" s="95">
        <f>SUM(E81*0.416)</f>
        <v>0</v>
      </c>
      <c r="H81" s="114" t="s">
        <v>54</v>
      </c>
      <c r="I81" s="93">
        <f>+F32</f>
        <v>0</v>
      </c>
      <c r="J81" s="95">
        <f>SUM(I81*0.83)</f>
        <v>0</v>
      </c>
    </row>
    <row r="82" spans="4:10" x14ac:dyDescent="0.35">
      <c r="D82" s="95">
        <v>14</v>
      </c>
      <c r="E82" s="96">
        <f t="shared" ref="E82:E87" si="3">+F23</f>
        <v>0</v>
      </c>
      <c r="F82" s="95">
        <f>SUM(E82*0.585)</f>
        <v>0</v>
      </c>
      <c r="I82" s="95" t="s">
        <v>55</v>
      </c>
      <c r="J82" s="94">
        <f>SUM(J79:J81)</f>
        <v>0</v>
      </c>
    </row>
    <row r="83" spans="4:10" x14ac:dyDescent="0.35">
      <c r="D83" s="95">
        <v>18</v>
      </c>
      <c r="E83" s="96">
        <f t="shared" si="3"/>
        <v>0</v>
      </c>
      <c r="F83" s="95">
        <f>SUM(E83*0.75)</f>
        <v>0</v>
      </c>
    </row>
    <row r="84" spans="4:10" x14ac:dyDescent="0.35">
      <c r="D84" s="95">
        <v>21</v>
      </c>
      <c r="E84" s="96">
        <f t="shared" si="3"/>
        <v>0</v>
      </c>
      <c r="F84" s="95">
        <f>SUM(E84*0.875)</f>
        <v>0</v>
      </c>
    </row>
    <row r="85" spans="4:10" x14ac:dyDescent="0.35">
      <c r="D85" s="95">
        <v>21.6</v>
      </c>
      <c r="E85" s="96">
        <f t="shared" si="3"/>
        <v>0</v>
      </c>
      <c r="F85" s="95">
        <f>SUM(E85*0.9)</f>
        <v>0</v>
      </c>
      <c r="I85" s="52">
        <f>+F83-F82</f>
        <v>0</v>
      </c>
    </row>
    <row r="86" spans="4:10" x14ac:dyDescent="0.35">
      <c r="D86" s="95">
        <v>22</v>
      </c>
      <c r="E86" s="96">
        <f t="shared" si="3"/>
        <v>0</v>
      </c>
      <c r="F86" s="95">
        <f>SUM(E86*0.916)</f>
        <v>0</v>
      </c>
    </row>
    <row r="87" spans="4:10" x14ac:dyDescent="0.35">
      <c r="D87" s="95">
        <v>24</v>
      </c>
      <c r="E87" s="96">
        <f t="shared" si="3"/>
        <v>0</v>
      </c>
      <c r="F87" s="95">
        <f>SUM(E87*0.999)</f>
        <v>0</v>
      </c>
    </row>
    <row r="88" spans="4:10" x14ac:dyDescent="0.35">
      <c r="E88" s="95" t="s">
        <v>55</v>
      </c>
      <c r="F88" s="94">
        <f>SUM(F79:F87)</f>
        <v>0</v>
      </c>
    </row>
  </sheetData>
  <sheetProtection formatCells="0" formatColumns="0" formatRows="0"/>
  <mergeCells count="2">
    <mergeCell ref="C13:D13"/>
    <mergeCell ref="C14:D14"/>
  </mergeCells>
  <phoneticPr fontId="6" type="noConversion"/>
  <pageMargins left="0.70866141732283472" right="0.70866141732283472" top="0.35433070866141736" bottom="0.35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let_indhold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7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o_afregning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yt_nr_afregning">
                <anchor moveWithCells="1" sizeWithCells="1">
                  <from>
                    <xdr:col>4</xdr:col>
                    <xdr:colOff>146050</xdr:colOff>
                    <xdr:row>1</xdr:row>
                    <xdr:rowOff>0</xdr:rowOff>
                  </from>
                  <to>
                    <xdr:col>5</xdr:col>
                    <xdr:colOff>431800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4"/>
  <dimension ref="A2:G53"/>
  <sheetViews>
    <sheetView showZeros="0" workbookViewId="0">
      <selection activeCell="B11" sqref="B11"/>
    </sheetView>
  </sheetViews>
  <sheetFormatPr defaultColWidth="8.81640625" defaultRowHeight="14.5" x14ac:dyDescent="0.35"/>
  <cols>
    <col min="1" max="1" width="4" customWidth="1"/>
    <col min="2" max="2" width="13" customWidth="1"/>
    <col min="3" max="3" width="15.26953125" customWidth="1"/>
    <col min="4" max="4" width="14.1796875" customWidth="1"/>
    <col min="5" max="5" width="14" customWidth="1"/>
    <col min="6" max="6" width="16.1796875" customWidth="1"/>
    <col min="7" max="7" width="12.81640625" customWidth="1"/>
  </cols>
  <sheetData>
    <row r="2" spans="2:7" x14ac:dyDescent="0.35">
      <c r="C2" s="26">
        <f ca="1">TODAY()</f>
        <v>46041</v>
      </c>
    </row>
    <row r="4" spans="2:7" x14ac:dyDescent="0.35">
      <c r="B4" s="19"/>
      <c r="C4" s="19"/>
      <c r="D4" s="19"/>
      <c r="E4" s="19"/>
      <c r="F4" s="19"/>
      <c r="G4" s="19"/>
    </row>
    <row r="5" spans="2:7" x14ac:dyDescent="0.35">
      <c r="C5" s="19"/>
      <c r="D5" s="19"/>
      <c r="E5" s="19"/>
      <c r="G5" s="19"/>
    </row>
    <row r="6" spans="2:7" ht="18" customHeight="1" x14ac:dyDescent="0.35">
      <c r="B6" s="19"/>
      <c r="C6" s="19"/>
      <c r="D6" s="19"/>
      <c r="E6" s="19"/>
      <c r="F6" s="19"/>
      <c r="G6" s="19"/>
    </row>
    <row r="7" spans="2:7" x14ac:dyDescent="0.35">
      <c r="B7" s="19"/>
      <c r="C7" s="19"/>
      <c r="D7" s="19"/>
      <c r="E7" s="24"/>
      <c r="G7" s="19"/>
    </row>
    <row r="8" spans="2:7" x14ac:dyDescent="0.35">
      <c r="B8" s="19"/>
      <c r="C8" s="19"/>
      <c r="D8" s="19"/>
      <c r="E8" s="19"/>
      <c r="G8" s="19"/>
    </row>
    <row r="9" spans="2:7" ht="18.5" x14ac:dyDescent="0.45">
      <c r="B9" s="19"/>
      <c r="C9" s="19"/>
      <c r="D9" s="22" t="s">
        <v>56</v>
      </c>
      <c r="E9" s="21"/>
      <c r="F9" s="28"/>
      <c r="G9" s="19"/>
    </row>
    <row r="10" spans="2:7" ht="18.5" x14ac:dyDescent="0.45">
      <c r="B10" s="19"/>
      <c r="C10" s="19"/>
      <c r="D10" s="22"/>
      <c r="E10" s="21"/>
      <c r="F10" s="28"/>
      <c r="G10" s="19"/>
    </row>
    <row r="11" spans="2:7" x14ac:dyDescent="0.35">
      <c r="B11" s="19" t="s">
        <v>57</v>
      </c>
      <c r="C11" s="19"/>
      <c r="D11" s="19"/>
      <c r="E11" s="19" t="s">
        <v>58</v>
      </c>
      <c r="G11" s="19"/>
    </row>
    <row r="12" spans="2:7" x14ac:dyDescent="0.35">
      <c r="B12" s="19"/>
      <c r="C12" s="19"/>
      <c r="D12" s="19"/>
      <c r="E12" t="s">
        <v>59</v>
      </c>
      <c r="G12" s="19"/>
    </row>
    <row r="13" spans="2:7" x14ac:dyDescent="0.35">
      <c r="B13" s="19"/>
      <c r="C13" s="19"/>
      <c r="D13" s="19"/>
      <c r="E13" t="s">
        <v>60</v>
      </c>
      <c r="G13" s="19"/>
    </row>
    <row r="14" spans="2:7" x14ac:dyDescent="0.35">
      <c r="B14" s="19"/>
      <c r="C14" s="19"/>
      <c r="D14" s="19"/>
      <c r="E14" s="19" t="s">
        <v>61</v>
      </c>
      <c r="F14" s="19">
        <v>34093083</v>
      </c>
      <c r="G14" s="19"/>
    </row>
    <row r="15" spans="2:7" x14ac:dyDescent="0.35">
      <c r="B15" s="19"/>
      <c r="C15" s="19"/>
      <c r="D15" s="19"/>
      <c r="E15" s="19" t="s">
        <v>62</v>
      </c>
      <c r="F15" s="40">
        <f>'Variable værdier'!D14</f>
        <v>1001</v>
      </c>
      <c r="G15" s="19"/>
    </row>
    <row r="16" spans="2:7" ht="18" customHeight="1" x14ac:dyDescent="0.35">
      <c r="B16" s="19"/>
      <c r="C16" s="19"/>
      <c r="D16" s="19"/>
      <c r="E16" s="19" t="s">
        <v>63</v>
      </c>
      <c r="F16" s="24">
        <v>41257</v>
      </c>
      <c r="G16" s="19"/>
    </row>
    <row r="17" spans="1:7" x14ac:dyDescent="0.35">
      <c r="B17" s="19"/>
      <c r="C17" s="19"/>
      <c r="D17" s="19"/>
      <c r="E17" s="19" t="s">
        <v>16</v>
      </c>
      <c r="F17" s="19"/>
      <c r="G17" s="19"/>
    </row>
    <row r="18" spans="1:7" x14ac:dyDescent="0.35">
      <c r="B18" s="19"/>
      <c r="C18" s="19"/>
      <c r="D18" s="19"/>
      <c r="E18" s="19" t="s">
        <v>64</v>
      </c>
      <c r="F18" t="s">
        <v>65</v>
      </c>
      <c r="G18" s="19"/>
    </row>
    <row r="19" spans="1:7" x14ac:dyDescent="0.35">
      <c r="C19" s="19"/>
      <c r="D19" s="19"/>
      <c r="E19" s="19" t="s">
        <v>66</v>
      </c>
      <c r="F19" s="30" t="s">
        <v>67</v>
      </c>
      <c r="G19" s="19"/>
    </row>
    <row r="20" spans="1:7" ht="22.5" x14ac:dyDescent="0.45">
      <c r="B20" s="29" t="s">
        <v>68</v>
      </c>
      <c r="C20" s="27"/>
      <c r="D20" s="19"/>
      <c r="E20" s="19" t="s">
        <v>69</v>
      </c>
      <c r="F20" s="30" t="s">
        <v>70</v>
      </c>
      <c r="G20" s="19"/>
    </row>
    <row r="21" spans="1:7" ht="18.5" x14ac:dyDescent="0.45">
      <c r="B21" s="19"/>
      <c r="C21" s="27"/>
      <c r="D21" s="19"/>
      <c r="E21" s="19"/>
      <c r="G21" s="19"/>
    </row>
    <row r="22" spans="1:7" ht="18.5" x14ac:dyDescent="0.45">
      <c r="B22" s="19"/>
      <c r="C22" s="27"/>
      <c r="D22" s="19"/>
      <c r="E22" s="19"/>
      <c r="G22" s="19"/>
    </row>
    <row r="23" spans="1:7" x14ac:dyDescent="0.35">
      <c r="B23" s="19"/>
      <c r="C23" s="19"/>
      <c r="D23" s="19"/>
      <c r="E23" s="19"/>
      <c r="F23" s="19"/>
      <c r="G23" s="19"/>
    </row>
    <row r="24" spans="1:7" s="1" customFormat="1" x14ac:dyDescent="0.35">
      <c r="B24" s="10" t="s">
        <v>20</v>
      </c>
      <c r="C24" s="11"/>
      <c r="D24" s="11" t="s">
        <v>22</v>
      </c>
      <c r="E24" s="11"/>
      <c r="F24" s="11" t="s">
        <v>24</v>
      </c>
      <c r="G24" s="12" t="s">
        <v>25</v>
      </c>
    </row>
    <row r="25" spans="1:7" x14ac:dyDescent="0.35">
      <c r="A25" s="19"/>
      <c r="B25" s="47"/>
      <c r="C25" s="38"/>
      <c r="D25" s="48"/>
      <c r="E25" s="38"/>
      <c r="F25" s="48"/>
      <c r="G25" s="49"/>
    </row>
    <row r="26" spans="1:7" x14ac:dyDescent="0.35">
      <c r="A26" s="19"/>
      <c r="B26" s="46" t="str">
        <f>IF(A26,VLOOKUP(A26,'Variable værdier'!$A$4:$B$12,2,3),"")</f>
        <v/>
      </c>
      <c r="C26" s="19"/>
      <c r="D26" s="5">
        <f>IF(A26,IF(A26=1,IF(C26=14,585,CEILING((C26/24)*999,1)),IF(C26,C26,VLOOKUP(A26,'Variable værdier'!$A$4:$D$12,4))),0)</f>
        <v>0</v>
      </c>
      <c r="E26" s="17"/>
      <c r="F26" s="6">
        <f>ROUND(IF(A26=1,('Variable værdier'!$C$4*'Faktura guld og sølv'!C26/24),IF(A26,'Variable værdier'!$C$5*'Faktura guld og sølv'!D26/'Variable værdier'!$D$5)),2)</f>
        <v>0</v>
      </c>
      <c r="G26" s="7">
        <f>ROUND(E26*F26,2)</f>
        <v>0</v>
      </c>
    </row>
    <row r="27" spans="1:7" x14ac:dyDescent="0.35">
      <c r="A27" s="19"/>
      <c r="B27" s="46" t="str">
        <f>IF(A27,VLOOKUP(A27,'Variable værdier'!$A$4:$B$12,2,3),"")</f>
        <v/>
      </c>
      <c r="C27" s="19"/>
      <c r="D27" s="5">
        <f>IF(A27,IF(A27=1,IF(C27=14,585,CEILING((C27/24)*999,1)),IF(C27,C27,VLOOKUP(A27,'Variable værdier'!$A$4:$D$12,4))),0)</f>
        <v>0</v>
      </c>
      <c r="E27" s="17"/>
      <c r="F27" s="6">
        <f>ROUND(IF(A27=1,('Variable værdier'!$C$4*'Faktura guld og sølv'!C27/24),IF(A27,'Variable værdier'!$C$5*'Faktura guld og sølv'!D27/'Variable værdier'!$D$5)),2)</f>
        <v>0</v>
      </c>
      <c r="G27" s="7">
        <f t="shared" ref="G27:G37" si="0">ROUND(E27*F27,2)</f>
        <v>0</v>
      </c>
    </row>
    <row r="28" spans="1:7" x14ac:dyDescent="0.35">
      <c r="A28" s="19"/>
      <c r="B28" s="46" t="str">
        <f>IF(A28,VLOOKUP(A28,'Variable værdier'!$A$4:$B$12,2,3),"")</f>
        <v/>
      </c>
      <c r="C28" s="19"/>
      <c r="D28" s="5">
        <f>IF(A28,IF(A28=1,IF(C28=14,585,CEILING((C28/24)*999,1)),IF(C28,C28,VLOOKUP(A28,'Variable værdier'!$A$4:$D$12,4))),0)</f>
        <v>0</v>
      </c>
      <c r="E28" s="17"/>
      <c r="F28" s="6">
        <f>ROUND(IF(A28=1,('Variable værdier'!$C$4*'Faktura guld og sølv'!C28/24),IF(A28,'Variable værdier'!$C$5*'Faktura guld og sølv'!D28/'Variable værdier'!$D$5)),2)</f>
        <v>0</v>
      </c>
      <c r="G28" s="7">
        <f t="shared" si="0"/>
        <v>0</v>
      </c>
    </row>
    <row r="29" spans="1:7" x14ac:dyDescent="0.35">
      <c r="A29" s="19"/>
      <c r="B29" s="46" t="str">
        <f>IF(A29,VLOOKUP(A29,'Variable værdier'!$A$4:$B$12,2,3),"")</f>
        <v/>
      </c>
      <c r="C29" s="19"/>
      <c r="D29" s="5">
        <f>IF(A29,IF(A29=1,IF(C29=14,585,CEILING((C29/24)*999,1)),IF(C29,C29,VLOOKUP(A29,'Variable værdier'!$A$4:$D$12,4))),0)</f>
        <v>0</v>
      </c>
      <c r="E29" s="17"/>
      <c r="F29" s="6">
        <f>ROUND(IF(A29=1,('Variable værdier'!$C$4*'Faktura guld og sølv'!C29/24),IF(A29,'Variable værdier'!$C$5*'Faktura guld og sølv'!D29/'Variable værdier'!$D$5)),2)</f>
        <v>0</v>
      </c>
      <c r="G29" s="7">
        <f t="shared" si="0"/>
        <v>0</v>
      </c>
    </row>
    <row r="30" spans="1:7" x14ac:dyDescent="0.35">
      <c r="A30" s="19"/>
      <c r="B30" s="46" t="str">
        <f>IF(A30,VLOOKUP(A30,'Variable værdier'!$A$4:$B$12,2,3),"")</f>
        <v/>
      </c>
      <c r="C30" s="19"/>
      <c r="D30" s="5">
        <f>IF(A30,IF(A30=1,IF(C30=14,585,CEILING((C30/24)*999,1)),IF(C30,C30,VLOOKUP(A30,'Variable værdier'!$A$4:$D$12,4))),0)</f>
        <v>0</v>
      </c>
      <c r="E30" s="17"/>
      <c r="F30" s="6">
        <f>ROUND(IF(A30=1,('Variable værdier'!$C$4*'Faktura guld og sølv'!C30/24),IF(A30,'Variable værdier'!$C$5*'Faktura guld og sølv'!D30/'Variable værdier'!$D$5)),2)</f>
        <v>0</v>
      </c>
      <c r="G30" s="7">
        <f t="shared" si="0"/>
        <v>0</v>
      </c>
    </row>
    <row r="31" spans="1:7" x14ac:dyDescent="0.35">
      <c r="A31" s="19"/>
      <c r="B31" s="46" t="str">
        <f>IF(A31,VLOOKUP(A31,'Variable værdier'!$A$4:$B$12,2,3),"")</f>
        <v/>
      </c>
      <c r="C31" s="19"/>
      <c r="D31" s="5">
        <f>IF(A31,IF(A31=1,IF(C31=14,585,CEILING((C31/24)*999,1)),IF(C31,C31,VLOOKUP(A31,'Variable værdier'!$A$4:$D$12,4))),0)</f>
        <v>0</v>
      </c>
      <c r="E31" s="17"/>
      <c r="F31" s="6">
        <f>ROUND(IF(A31=1,('Variable værdier'!$C$4*'Faktura guld og sølv'!C31/24),IF(A31,'Variable værdier'!$C$5*'Faktura guld og sølv'!D31/'Variable værdier'!$D$5)),2)</f>
        <v>0</v>
      </c>
      <c r="G31" s="7">
        <f t="shared" si="0"/>
        <v>0</v>
      </c>
    </row>
    <row r="32" spans="1:7" x14ac:dyDescent="0.35">
      <c r="A32" s="19"/>
      <c r="B32" s="46" t="str">
        <f>IF(A32,VLOOKUP(A32,'Variable værdier'!$A$4:$B$12,2,3),"")</f>
        <v/>
      </c>
      <c r="C32" s="19"/>
      <c r="D32" s="5">
        <f>IF(A32,IF(A32=1,IF(C32=14,585,CEILING((C32/24)*999,1)),IF(C32,C32,VLOOKUP(A32,'Variable værdier'!$A$4:$D$12,4))),0)</f>
        <v>0</v>
      </c>
      <c r="E32" s="17"/>
      <c r="F32" s="6">
        <f>ROUND(IF(A32=1,('Variable værdier'!$C$4*'Faktura guld og sølv'!C32/24),IF(A32,'Variable værdier'!$C$5*'Faktura guld og sølv'!D32/'Variable værdier'!$D$5)),2)</f>
        <v>0</v>
      </c>
      <c r="G32" s="7">
        <f t="shared" si="0"/>
        <v>0</v>
      </c>
    </row>
    <row r="33" spans="1:7" x14ac:dyDescent="0.35">
      <c r="A33" s="19"/>
      <c r="B33" s="46" t="str">
        <f>IF(A33,VLOOKUP(A33,'Variable værdier'!$A$4:$B$12,2,3),"")</f>
        <v/>
      </c>
      <c r="C33" s="19"/>
      <c r="D33" s="5">
        <f>IF(A33,IF(A33=1,IF(C33=14,585,CEILING((C33/24)*999,1)),IF(C33,C33,VLOOKUP(A33,'Variable værdier'!$A$4:$D$12,4))),0)</f>
        <v>0</v>
      </c>
      <c r="E33" s="17"/>
      <c r="F33" s="6">
        <f>ROUND(IF(A33=1,('Variable værdier'!$C$4*'Faktura guld og sølv'!C33/24),IF(A33,'Variable værdier'!$C$5*'Faktura guld og sølv'!D33/'Variable værdier'!$D$5)),2)</f>
        <v>0</v>
      </c>
      <c r="G33" s="7">
        <f t="shared" si="0"/>
        <v>0</v>
      </c>
    </row>
    <row r="34" spans="1:7" x14ac:dyDescent="0.35">
      <c r="A34" s="19"/>
      <c r="B34" s="46" t="str">
        <f>IF(A34,VLOOKUP(A34,'Variable værdier'!$A$4:$B$12,2,3),"")</f>
        <v/>
      </c>
      <c r="C34" s="19"/>
      <c r="D34" s="5">
        <f>IF(A34,IF(A34=1,IF(C34=14,585,CEILING((C34/24)*999,1)),IF(C34,C34,VLOOKUP(A34,'Variable værdier'!$A$4:$D$12,4))),0)</f>
        <v>0</v>
      </c>
      <c r="E34" s="17"/>
      <c r="F34" s="6">
        <f>ROUND(IF(A34=1,('Variable værdier'!$C$4*'Faktura guld og sølv'!C34/24),IF(A34,'Variable værdier'!$C$5*'Faktura guld og sølv'!D34/'Variable værdier'!$D$5)),2)</f>
        <v>0</v>
      </c>
      <c r="G34" s="7">
        <f t="shared" si="0"/>
        <v>0</v>
      </c>
    </row>
    <row r="35" spans="1:7" x14ac:dyDescent="0.35">
      <c r="A35" s="19"/>
      <c r="B35" s="46" t="str">
        <f>IF(A35,VLOOKUP(A35,'Variable værdier'!$A$4:$B$12,2,3),"")</f>
        <v/>
      </c>
      <c r="C35" s="19"/>
      <c r="D35" s="5">
        <f>IF(A35,IF(A35=1,IF(C35=14,585,CEILING((C35/24)*999,1)),IF(C35,C35,VLOOKUP(A35,'Variable værdier'!$A$4:$D$12,4))),0)</f>
        <v>0</v>
      </c>
      <c r="E35" s="17"/>
      <c r="F35" s="6">
        <f>ROUND(IF(A35=1,('Variable værdier'!$C$4*'Faktura guld og sølv'!C35/24),IF(A35,'Variable værdier'!$C$5*'Faktura guld og sølv'!D35/'Variable værdier'!$D$5)),2)</f>
        <v>0</v>
      </c>
      <c r="G35" s="7">
        <f t="shared" si="0"/>
        <v>0</v>
      </c>
    </row>
    <row r="36" spans="1:7" x14ac:dyDescent="0.35">
      <c r="A36" s="19"/>
      <c r="B36" s="46" t="str">
        <f>IF(A36,VLOOKUP(A36,'Variable værdier'!$A$4:$B$12,2,3),"")</f>
        <v/>
      </c>
      <c r="C36" s="19"/>
      <c r="D36" s="5">
        <f>IF(A36,IF(A36=1,IF(C36=14,585,CEILING((C36/24)*999,1)),IF(C36,C36,VLOOKUP(A36,'Variable værdier'!$A$4:$D$12,4))),0)</f>
        <v>0</v>
      </c>
      <c r="E36" s="17"/>
      <c r="F36" s="6">
        <f>ROUND(IF(A36=1,('Variable værdier'!$C$4*'Faktura guld og sølv'!C36/24),IF(A36,'Variable værdier'!$C$5*'Faktura guld og sølv'!D36/'Variable værdier'!$D$5)),2)</f>
        <v>0</v>
      </c>
      <c r="G36" s="7">
        <f t="shared" si="0"/>
        <v>0</v>
      </c>
    </row>
    <row r="37" spans="1:7" x14ac:dyDescent="0.35">
      <c r="A37" s="19"/>
      <c r="B37" s="46" t="str">
        <f>IF(A37,VLOOKUP(A37,'Variable værdier'!$A$4:$B$12,2,3),"")</f>
        <v/>
      </c>
      <c r="C37" s="19"/>
      <c r="D37" s="5">
        <f>IF(A37,IF(A37=1,IF(C37=14,585,CEILING((C37/24)*999,1)),IF(C37,C37,VLOOKUP(A37,'Variable værdier'!$A$4:$D$12,4))),0)</f>
        <v>0</v>
      </c>
      <c r="E37" s="17"/>
      <c r="F37" s="6">
        <f>ROUND(IF(A37=1,('Variable værdier'!$C$4*'Faktura guld og sølv'!C37/24),IF(A37,'Variable værdier'!$C$5*'Faktura guld og sølv'!D37/'Variable værdier'!$D$5)),2)</f>
        <v>0</v>
      </c>
      <c r="G37" s="7">
        <f t="shared" si="0"/>
        <v>0</v>
      </c>
    </row>
    <row r="38" spans="1:7" x14ac:dyDescent="0.35">
      <c r="A38" s="19"/>
      <c r="B38" s="18"/>
      <c r="C38" s="19"/>
      <c r="D38" s="19"/>
      <c r="E38" s="19"/>
      <c r="F38" s="19"/>
      <c r="G38" s="50"/>
    </row>
    <row r="39" spans="1:7" x14ac:dyDescent="0.35">
      <c r="A39" s="19"/>
      <c r="B39" s="18"/>
      <c r="C39" s="19"/>
      <c r="D39" s="19"/>
      <c r="E39" s="19"/>
      <c r="F39" s="19"/>
      <c r="G39" s="50"/>
    </row>
    <row r="40" spans="1:7" x14ac:dyDescent="0.35">
      <c r="A40" s="19"/>
      <c r="B40" s="18"/>
      <c r="C40" s="35"/>
      <c r="D40" s="19"/>
      <c r="E40" s="35"/>
      <c r="F40" s="19"/>
      <c r="G40" s="50"/>
    </row>
    <row r="41" spans="1:7" ht="15" thickBot="1" x14ac:dyDescent="0.4">
      <c r="B41" s="13" t="s">
        <v>25</v>
      </c>
      <c r="C41" s="14"/>
      <c r="D41" s="14"/>
      <c r="E41" s="25">
        <f>SUM(E26:E40)</f>
        <v>0</v>
      </c>
      <c r="F41" s="14"/>
      <c r="G41" s="8">
        <f>SUM(G26:G40)</f>
        <v>0</v>
      </c>
    </row>
    <row r="42" spans="1:7" ht="15" thickTop="1" x14ac:dyDescent="0.35">
      <c r="F42" s="2"/>
      <c r="G42" s="6"/>
    </row>
    <row r="43" spans="1:7" x14ac:dyDescent="0.35">
      <c r="F43" s="2"/>
      <c r="G43" s="6"/>
    </row>
    <row r="44" spans="1:7" ht="18.75" customHeight="1" x14ac:dyDescent="0.35">
      <c r="B44" s="20"/>
      <c r="C44" s="19"/>
      <c r="D44" s="19"/>
      <c r="E44" s="19"/>
      <c r="F44" s="2" t="s">
        <v>33</v>
      </c>
      <c r="G44" s="6">
        <f>G41</f>
        <v>0</v>
      </c>
    </row>
    <row r="45" spans="1:7" ht="18.75" customHeight="1" x14ac:dyDescent="0.35">
      <c r="B45" s="20"/>
      <c r="C45" s="19"/>
      <c r="D45" s="19"/>
      <c r="E45" s="19"/>
      <c r="F45" s="2"/>
      <c r="G45" s="6"/>
    </row>
    <row r="46" spans="1:7" ht="18.75" customHeight="1" x14ac:dyDescent="0.35">
      <c r="A46" s="19">
        <v>1</v>
      </c>
      <c r="B46" s="20"/>
      <c r="C46" s="19"/>
      <c r="D46" s="19"/>
      <c r="E46" s="19"/>
      <c r="F46" s="2" t="s">
        <v>36</v>
      </c>
      <c r="G46" s="23">
        <f>IF(A46,ROUND(G44*25%,2),0)</f>
        <v>0</v>
      </c>
    </row>
    <row r="47" spans="1:7" ht="18.75" customHeight="1" thickBot="1" x14ac:dyDescent="0.4">
      <c r="B47" s="20"/>
      <c r="C47" s="19"/>
      <c r="D47" s="19"/>
      <c r="E47" s="19"/>
      <c r="F47" s="15" t="s">
        <v>25</v>
      </c>
      <c r="G47" s="9">
        <f>SUM(G44:G46)</f>
        <v>0</v>
      </c>
    </row>
    <row r="48" spans="1:7" ht="15" thickTop="1" x14ac:dyDescent="0.35">
      <c r="B48" s="19"/>
      <c r="C48" s="19"/>
      <c r="D48" s="19"/>
      <c r="E48" s="19"/>
      <c r="F48" s="2"/>
      <c r="G48" s="2"/>
    </row>
    <row r="49" spans="2:7" x14ac:dyDescent="0.35">
      <c r="F49" s="2"/>
      <c r="G49" s="2"/>
    </row>
    <row r="50" spans="2:7" x14ac:dyDescent="0.35">
      <c r="B50" s="16"/>
      <c r="G50" s="2"/>
    </row>
    <row r="51" spans="2:7" x14ac:dyDescent="0.35">
      <c r="B51" s="16"/>
      <c r="G51" s="2"/>
    </row>
    <row r="52" spans="2:7" x14ac:dyDescent="0.35">
      <c r="G52" s="2"/>
    </row>
    <row r="53" spans="2:7" x14ac:dyDescent="0.35">
      <c r="G53" s="2"/>
    </row>
  </sheetData>
  <sheetProtection sheet="1" objects="1" scenarios="1" formatCells="0" formatColumns="0" formatRows="0"/>
  <hyperlinks>
    <hyperlink ref="F19" r:id="rId1" xr:uid="{00000000-0004-0000-0100-000000000000}"/>
    <hyperlink ref="F20" r:id="rId2" xr:uid="{00000000-0004-0000-0100-000001000000}"/>
  </hyperlinks>
  <pageMargins left="0.70866141732283472" right="0.70866141732283472" top="0.35433070866141736" bottom="0.35" header="0.31496062992125984" footer="0.31496062992125984"/>
  <ignoredErrors>
    <ignoredError sqref="B27:B37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let_indhold_faktura">
                <anchor moveWithCells="1" sizeWithCells="1">
                  <from>
                    <xdr:col>5</xdr:col>
                    <xdr:colOff>755650</xdr:colOff>
                    <xdr:row>0</xdr:row>
                    <xdr:rowOff>228600</xdr:rowOff>
                  </from>
                  <to>
                    <xdr:col>6</xdr:col>
                    <xdr:colOff>1079500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Knap2_Klik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</xdr:col>
                    <xdr:colOff>1143000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Knap3_Klik">
                <anchor moveWithCells="1" sizeWithCells="1">
                  <from>
                    <xdr:col>3</xdr:col>
                    <xdr:colOff>279400</xdr:colOff>
                    <xdr:row>1</xdr:row>
                    <xdr:rowOff>12700</xdr:rowOff>
                  </from>
                  <to>
                    <xdr:col>4</xdr:col>
                    <xdr:colOff>679450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5"/>
  <dimension ref="A2:G54"/>
  <sheetViews>
    <sheetView showZeros="0" topLeftCell="A7" workbookViewId="0">
      <selection activeCell="B24" activeCellId="1" sqref="B6:B16 B24:F39"/>
    </sheetView>
  </sheetViews>
  <sheetFormatPr defaultColWidth="8.81640625" defaultRowHeight="14.5" x14ac:dyDescent="0.35"/>
  <cols>
    <col min="1" max="1" width="4" customWidth="1"/>
    <col min="2" max="2" width="13" customWidth="1"/>
    <col min="3" max="3" width="15.26953125" customWidth="1"/>
    <col min="4" max="4" width="14.1796875" customWidth="1"/>
    <col min="5" max="5" width="14" customWidth="1"/>
    <col min="6" max="6" width="16.1796875" customWidth="1"/>
    <col min="7" max="7" width="12.81640625" customWidth="1"/>
  </cols>
  <sheetData>
    <row r="2" spans="2:7" x14ac:dyDescent="0.35">
      <c r="C2" s="26">
        <f ca="1">TODAY()</f>
        <v>46041</v>
      </c>
    </row>
    <row r="4" spans="2:7" x14ac:dyDescent="0.35">
      <c r="B4" s="19"/>
      <c r="C4" s="19"/>
      <c r="D4" s="19"/>
      <c r="E4" s="19"/>
      <c r="F4" s="19"/>
      <c r="G4" s="19"/>
    </row>
    <row r="5" spans="2:7" x14ac:dyDescent="0.35">
      <c r="C5" s="19"/>
      <c r="D5" s="19"/>
      <c r="E5" s="19"/>
      <c r="G5" s="19"/>
    </row>
    <row r="6" spans="2:7" ht="18" customHeight="1" x14ac:dyDescent="0.35">
      <c r="B6" s="19"/>
      <c r="C6" s="19"/>
      <c r="D6" s="19"/>
      <c r="E6" s="19"/>
      <c r="F6" s="19"/>
      <c r="G6" s="19"/>
    </row>
    <row r="7" spans="2:7" x14ac:dyDescent="0.35">
      <c r="B7" s="19"/>
      <c r="C7" s="19"/>
      <c r="D7" s="19"/>
      <c r="E7" s="24"/>
      <c r="G7" s="19"/>
    </row>
    <row r="8" spans="2:7" x14ac:dyDescent="0.35">
      <c r="B8" s="19"/>
      <c r="C8" s="19"/>
      <c r="D8" s="19"/>
      <c r="E8" s="19"/>
      <c r="G8" s="19"/>
    </row>
    <row r="9" spans="2:7" x14ac:dyDescent="0.35">
      <c r="B9" s="19"/>
      <c r="C9" s="19"/>
      <c r="D9" s="19"/>
      <c r="E9" s="19"/>
      <c r="G9" s="19"/>
    </row>
    <row r="10" spans="2:7" x14ac:dyDescent="0.35">
      <c r="B10" s="31"/>
      <c r="C10" s="19"/>
      <c r="D10" s="19"/>
      <c r="E10" s="19" t="s">
        <v>58</v>
      </c>
      <c r="G10" s="19"/>
    </row>
    <row r="11" spans="2:7" x14ac:dyDescent="0.35">
      <c r="B11" s="19"/>
      <c r="C11" s="19"/>
      <c r="D11" s="19"/>
      <c r="E11" t="s">
        <v>59</v>
      </c>
      <c r="G11" s="19"/>
    </row>
    <row r="12" spans="2:7" x14ac:dyDescent="0.35">
      <c r="B12" s="19"/>
      <c r="C12" s="19"/>
      <c r="D12" s="19"/>
      <c r="E12" t="s">
        <v>60</v>
      </c>
      <c r="G12" s="19"/>
    </row>
    <row r="13" spans="2:7" x14ac:dyDescent="0.35">
      <c r="B13" s="19"/>
      <c r="C13" s="19"/>
      <c r="D13" s="19"/>
      <c r="E13" s="19" t="s">
        <v>61</v>
      </c>
      <c r="F13" s="19">
        <v>34093083</v>
      </c>
      <c r="G13" s="19"/>
    </row>
    <row r="14" spans="2:7" x14ac:dyDescent="0.35">
      <c r="B14" s="19"/>
      <c r="C14" s="19"/>
      <c r="D14" s="19"/>
      <c r="E14" s="19" t="s">
        <v>62</v>
      </c>
      <c r="F14" s="40">
        <f>'Variable værdier'!D14</f>
        <v>1001</v>
      </c>
      <c r="G14" s="19"/>
    </row>
    <row r="15" spans="2:7" ht="18" customHeight="1" x14ac:dyDescent="0.35">
      <c r="B15" s="19"/>
      <c r="C15" s="19"/>
      <c r="D15" s="19"/>
      <c r="E15" s="19" t="s">
        <v>63</v>
      </c>
      <c r="F15" s="24">
        <v>41257</v>
      </c>
      <c r="G15" s="19"/>
    </row>
    <row r="16" spans="2:7" x14ac:dyDescent="0.35">
      <c r="B16" s="19"/>
      <c r="C16" s="19"/>
      <c r="D16" s="19"/>
      <c r="E16" s="19" t="s">
        <v>16</v>
      </c>
      <c r="F16" s="19"/>
      <c r="G16" s="19"/>
    </row>
    <row r="17" spans="1:7" x14ac:dyDescent="0.35">
      <c r="B17" s="19"/>
      <c r="C17" s="19"/>
      <c r="D17" s="19"/>
      <c r="E17" s="19" t="s">
        <v>64</v>
      </c>
      <c r="F17" t="s">
        <v>65</v>
      </c>
      <c r="G17" s="19"/>
    </row>
    <row r="18" spans="1:7" x14ac:dyDescent="0.35">
      <c r="C18" s="19"/>
      <c r="D18" s="19"/>
      <c r="E18" s="19" t="s">
        <v>66</v>
      </c>
      <c r="F18" s="30" t="s">
        <v>67</v>
      </c>
      <c r="G18" s="19"/>
    </row>
    <row r="19" spans="1:7" ht="22.5" x14ac:dyDescent="0.45">
      <c r="B19" s="29" t="s">
        <v>68</v>
      </c>
      <c r="C19" s="27"/>
      <c r="D19" s="19"/>
      <c r="E19" s="19" t="s">
        <v>69</v>
      </c>
      <c r="F19" s="30" t="s">
        <v>70</v>
      </c>
      <c r="G19" s="19"/>
    </row>
    <row r="20" spans="1:7" ht="18.5" x14ac:dyDescent="0.45">
      <c r="B20" s="19"/>
      <c r="C20" s="27"/>
      <c r="D20" s="19"/>
      <c r="E20" s="19"/>
      <c r="G20" s="19"/>
    </row>
    <row r="21" spans="1:7" ht="18.5" x14ac:dyDescent="0.45">
      <c r="B21" s="19"/>
      <c r="C21" s="27"/>
      <c r="D21" s="19"/>
      <c r="E21" s="19"/>
      <c r="G21" s="19"/>
    </row>
    <row r="22" spans="1:7" x14ac:dyDescent="0.35">
      <c r="B22" s="19"/>
      <c r="C22" s="35"/>
      <c r="D22" s="19"/>
      <c r="E22" s="19"/>
      <c r="F22" s="19"/>
      <c r="G22" s="19"/>
    </row>
    <row r="23" spans="1:7" s="1" customFormat="1" x14ac:dyDescent="0.35">
      <c r="B23" s="32"/>
      <c r="C23" s="33" t="s">
        <v>71</v>
      </c>
      <c r="D23" s="34"/>
      <c r="E23" s="11" t="s">
        <v>72</v>
      </c>
      <c r="F23" s="11" t="s">
        <v>73</v>
      </c>
      <c r="G23" s="12" t="s">
        <v>25</v>
      </c>
    </row>
    <row r="24" spans="1:7" x14ac:dyDescent="0.35">
      <c r="B24" s="37"/>
      <c r="C24" s="38"/>
      <c r="D24" s="38"/>
      <c r="E24" s="38"/>
      <c r="F24" s="38"/>
      <c r="G24" s="49"/>
    </row>
    <row r="25" spans="1:7" x14ac:dyDescent="0.35">
      <c r="A25" s="19"/>
      <c r="B25" s="18"/>
      <c r="C25" s="19"/>
      <c r="D25" s="19"/>
      <c r="E25" s="17"/>
      <c r="F25" s="17"/>
      <c r="G25" s="7">
        <f>ROUND(IF(E25,E25,1)*F25,2)</f>
        <v>0</v>
      </c>
    </row>
    <row r="26" spans="1:7" x14ac:dyDescent="0.35">
      <c r="A26" s="19"/>
      <c r="B26" s="18"/>
      <c r="C26" s="19"/>
      <c r="D26" s="19"/>
      <c r="E26" s="17"/>
      <c r="F26" s="17"/>
      <c r="G26" s="7">
        <f t="shared" ref="G26:G39" si="0">ROUND(IF(E26,E26,1)*F26,2)</f>
        <v>0</v>
      </c>
    </row>
    <row r="27" spans="1:7" x14ac:dyDescent="0.35">
      <c r="A27" s="19"/>
      <c r="B27" s="18"/>
      <c r="C27" s="19"/>
      <c r="D27" s="19"/>
      <c r="E27" s="17"/>
      <c r="F27" s="17"/>
      <c r="G27" s="7">
        <f t="shared" si="0"/>
        <v>0</v>
      </c>
    </row>
    <row r="28" spans="1:7" x14ac:dyDescent="0.35">
      <c r="A28" s="19"/>
      <c r="B28" s="18"/>
      <c r="C28" s="19"/>
      <c r="D28" s="19"/>
      <c r="E28" s="17"/>
      <c r="F28" s="17"/>
      <c r="G28" s="7">
        <f t="shared" si="0"/>
        <v>0</v>
      </c>
    </row>
    <row r="29" spans="1:7" x14ac:dyDescent="0.35">
      <c r="A29" s="19"/>
      <c r="B29" s="18"/>
      <c r="C29" s="19"/>
      <c r="D29" s="19"/>
      <c r="E29" s="17"/>
      <c r="F29" s="17"/>
      <c r="G29" s="7">
        <f t="shared" si="0"/>
        <v>0</v>
      </c>
    </row>
    <row r="30" spans="1:7" x14ac:dyDescent="0.35">
      <c r="A30" s="19"/>
      <c r="B30" s="18"/>
      <c r="C30" s="19"/>
      <c r="D30" s="19"/>
      <c r="E30" s="17"/>
      <c r="F30" s="17"/>
      <c r="G30" s="7">
        <f t="shared" si="0"/>
        <v>0</v>
      </c>
    </row>
    <row r="31" spans="1:7" x14ac:dyDescent="0.35">
      <c r="A31" s="19"/>
      <c r="B31" s="18"/>
      <c r="C31" s="19"/>
      <c r="D31" s="19"/>
      <c r="E31" s="17"/>
      <c r="F31" s="17"/>
      <c r="G31" s="7">
        <f t="shared" si="0"/>
        <v>0</v>
      </c>
    </row>
    <row r="32" spans="1:7" x14ac:dyDescent="0.35">
      <c r="B32" s="18"/>
      <c r="C32" s="19"/>
      <c r="D32" s="19"/>
      <c r="E32" s="17"/>
      <c r="F32" s="17"/>
      <c r="G32" s="7">
        <f t="shared" si="0"/>
        <v>0</v>
      </c>
    </row>
    <row r="33" spans="1:7" x14ac:dyDescent="0.35">
      <c r="B33" s="18"/>
      <c r="C33" s="19"/>
      <c r="D33" s="19"/>
      <c r="E33" s="17"/>
      <c r="F33" s="17"/>
      <c r="G33" s="7">
        <f t="shared" si="0"/>
        <v>0</v>
      </c>
    </row>
    <row r="34" spans="1:7" x14ac:dyDescent="0.35">
      <c r="B34" s="18"/>
      <c r="C34" s="19"/>
      <c r="D34" s="19"/>
      <c r="E34" s="17"/>
      <c r="F34" s="17"/>
      <c r="G34" s="7">
        <f t="shared" si="0"/>
        <v>0</v>
      </c>
    </row>
    <row r="35" spans="1:7" x14ac:dyDescent="0.35">
      <c r="B35" s="18"/>
      <c r="C35" s="19"/>
      <c r="D35" s="19"/>
      <c r="E35" s="17"/>
      <c r="F35" s="17"/>
      <c r="G35" s="7">
        <f t="shared" si="0"/>
        <v>0</v>
      </c>
    </row>
    <row r="36" spans="1:7" x14ac:dyDescent="0.35">
      <c r="B36" s="18"/>
      <c r="C36" s="19"/>
      <c r="D36" s="19"/>
      <c r="E36" s="17"/>
      <c r="F36" s="17"/>
      <c r="G36" s="7">
        <f t="shared" si="0"/>
        <v>0</v>
      </c>
    </row>
    <row r="37" spans="1:7" x14ac:dyDescent="0.35">
      <c r="B37" s="18"/>
      <c r="C37" s="19"/>
      <c r="D37" s="19"/>
      <c r="E37" s="17"/>
      <c r="F37" s="17"/>
      <c r="G37" s="7">
        <f t="shared" si="0"/>
        <v>0</v>
      </c>
    </row>
    <row r="38" spans="1:7" x14ac:dyDescent="0.35">
      <c r="B38" s="18"/>
      <c r="C38" s="19"/>
      <c r="D38" s="19"/>
      <c r="E38" s="17"/>
      <c r="F38" s="17"/>
      <c r="G38" s="7">
        <f t="shared" si="0"/>
        <v>0</v>
      </c>
    </row>
    <row r="39" spans="1:7" x14ac:dyDescent="0.35">
      <c r="B39" s="18"/>
      <c r="C39" s="35"/>
      <c r="D39" s="19"/>
      <c r="E39" s="39"/>
      <c r="F39" s="17"/>
      <c r="G39" s="7">
        <f t="shared" si="0"/>
        <v>0</v>
      </c>
    </row>
    <row r="40" spans="1:7" ht="15" thickBot="1" x14ac:dyDescent="0.4">
      <c r="B40" s="13" t="s">
        <v>25</v>
      </c>
      <c r="C40" s="14"/>
      <c r="D40" s="14"/>
      <c r="E40" s="25"/>
      <c r="F40" s="14"/>
      <c r="G40" s="8">
        <f>SUM(G25:G39)</f>
        <v>0</v>
      </c>
    </row>
    <row r="41" spans="1:7" ht="15" thickTop="1" x14ac:dyDescent="0.35">
      <c r="F41" s="2"/>
      <c r="G41" s="6"/>
    </row>
    <row r="42" spans="1:7" x14ac:dyDescent="0.35">
      <c r="F42" s="2"/>
      <c r="G42" s="6"/>
    </row>
    <row r="43" spans="1:7" ht="18.75" customHeight="1" x14ac:dyDescent="0.35">
      <c r="B43" s="20"/>
      <c r="C43" s="19"/>
      <c r="D43" s="19"/>
      <c r="E43" s="19"/>
      <c r="F43" s="2" t="s">
        <v>33</v>
      </c>
      <c r="G43" s="6">
        <f>G40</f>
        <v>0</v>
      </c>
    </row>
    <row r="44" spans="1:7" ht="18.75" customHeight="1" x14ac:dyDescent="0.35">
      <c r="B44" s="20"/>
      <c r="C44" s="19"/>
      <c r="D44" s="19"/>
      <c r="E44" s="19"/>
      <c r="F44" s="2"/>
      <c r="G44" s="6"/>
    </row>
    <row r="45" spans="1:7" ht="18.75" customHeight="1" x14ac:dyDescent="0.35">
      <c r="A45" s="19">
        <v>1</v>
      </c>
      <c r="B45" s="20"/>
      <c r="C45" s="19"/>
      <c r="D45" s="19"/>
      <c r="E45" s="19"/>
      <c r="F45" s="2" t="s">
        <v>36</v>
      </c>
      <c r="G45" s="23">
        <f>IF(A45,ROUND(G43*25%,2),0)</f>
        <v>0</v>
      </c>
    </row>
    <row r="46" spans="1:7" ht="18.75" customHeight="1" thickBot="1" x14ac:dyDescent="0.4">
      <c r="B46" s="20"/>
      <c r="C46" s="19"/>
      <c r="D46" s="19"/>
      <c r="E46" s="19"/>
      <c r="F46" s="15" t="s">
        <v>25</v>
      </c>
      <c r="G46" s="9">
        <f>SUM(G43:G45)</f>
        <v>0</v>
      </c>
    </row>
    <row r="47" spans="1:7" ht="15" thickTop="1" x14ac:dyDescent="0.35">
      <c r="B47" s="19"/>
      <c r="C47" s="19"/>
      <c r="D47" s="19"/>
      <c r="E47" s="19"/>
      <c r="F47" s="2"/>
      <c r="G47" s="2"/>
    </row>
    <row r="48" spans="1:7" x14ac:dyDescent="0.35">
      <c r="F48" s="2"/>
      <c r="G48" s="2"/>
    </row>
    <row r="49" spans="2:7" x14ac:dyDescent="0.35">
      <c r="G49" s="2"/>
    </row>
    <row r="50" spans="2:7" x14ac:dyDescent="0.35">
      <c r="B50" s="16"/>
      <c r="G50" s="2"/>
    </row>
    <row r="51" spans="2:7" x14ac:dyDescent="0.35">
      <c r="B51" s="16"/>
      <c r="G51" s="2"/>
    </row>
    <row r="52" spans="2:7" x14ac:dyDescent="0.35">
      <c r="B52" s="16"/>
      <c r="G52" s="2"/>
    </row>
    <row r="53" spans="2:7" x14ac:dyDescent="0.35">
      <c r="G53" s="2"/>
    </row>
    <row r="54" spans="2:7" x14ac:dyDescent="0.35">
      <c r="G54" s="2"/>
    </row>
  </sheetData>
  <sheetProtection sheet="1" objects="1" scenarios="1" formatCells="0" formatColumns="0" formatRows="0"/>
  <hyperlinks>
    <hyperlink ref="F18" r:id="rId1" xr:uid="{00000000-0004-0000-0200-000000000000}"/>
    <hyperlink ref="F19" r:id="rId2" xr:uid="{00000000-0004-0000-0200-000001000000}"/>
  </hyperlinks>
  <pageMargins left="0.70866141732283472" right="0.70866141732283472" top="0.35433070866141736" bottom="0.35" header="0.31496062992125984" footer="0.31496062992125984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let_indhold_diverse_faktura">
                <anchor moveWithCells="1" sizeWithCells="1">
                  <from>
                    <xdr:col>5</xdr:col>
                    <xdr:colOff>762000</xdr:colOff>
                    <xdr:row>0</xdr:row>
                    <xdr:rowOff>222250</xdr:rowOff>
                  </from>
                  <to>
                    <xdr:col>6</xdr:col>
                    <xdr:colOff>1098550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Knap2_Klik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</xdr:col>
                    <xdr:colOff>1143000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Knap3_Klik">
                <anchor moveWithCells="1" sizeWithCells="1">
                  <from>
                    <xdr:col>3</xdr:col>
                    <xdr:colOff>279400</xdr:colOff>
                    <xdr:row>1</xdr:row>
                    <xdr:rowOff>12700</xdr:rowOff>
                  </from>
                  <to>
                    <xdr:col>4</xdr:col>
                    <xdr:colOff>679450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"/>
  <dimension ref="A2:F25"/>
  <sheetViews>
    <sheetView workbookViewId="0">
      <selection activeCell="C11" sqref="C11"/>
    </sheetView>
  </sheetViews>
  <sheetFormatPr defaultColWidth="8.81640625" defaultRowHeight="14.5" x14ac:dyDescent="0.35"/>
  <cols>
    <col min="2" max="2" width="15.453125" bestFit="1" customWidth="1"/>
    <col min="3" max="3" width="23.7265625" bestFit="1" customWidth="1"/>
    <col min="4" max="4" width="9.1796875" bestFit="1" customWidth="1"/>
    <col min="5" max="5" width="14.453125" bestFit="1" customWidth="1"/>
  </cols>
  <sheetData>
    <row r="2" spans="1:6" x14ac:dyDescent="0.35">
      <c r="A2" s="3" t="s">
        <v>74</v>
      </c>
      <c r="B2" s="1" t="s">
        <v>75</v>
      </c>
      <c r="C2" s="1" t="s">
        <v>76</v>
      </c>
      <c r="D2" s="3" t="s">
        <v>22</v>
      </c>
      <c r="E2" s="3" t="s">
        <v>77</v>
      </c>
    </row>
    <row r="4" spans="1:6" x14ac:dyDescent="0.35">
      <c r="A4">
        <v>1</v>
      </c>
      <c r="B4" t="s">
        <v>78</v>
      </c>
      <c r="C4" s="41">
        <f>7.45*C10</f>
        <v>938.7</v>
      </c>
      <c r="D4" s="4"/>
      <c r="E4" s="42">
        <v>0</v>
      </c>
    </row>
    <row r="5" spans="1:6" x14ac:dyDescent="0.35">
      <c r="A5">
        <v>2</v>
      </c>
      <c r="B5" t="s">
        <v>48</v>
      </c>
      <c r="C5" s="41">
        <v>2.85</v>
      </c>
      <c r="D5" s="1">
        <v>999</v>
      </c>
    </row>
    <row r="6" spans="1:6" x14ac:dyDescent="0.35">
      <c r="A6">
        <v>3</v>
      </c>
      <c r="B6" t="s">
        <v>79</v>
      </c>
      <c r="C6" s="41">
        <v>2.5499999999999998</v>
      </c>
      <c r="D6" s="1">
        <v>925</v>
      </c>
    </row>
    <row r="7" spans="1:6" x14ac:dyDescent="0.35">
      <c r="A7">
        <v>4</v>
      </c>
      <c r="B7" t="s">
        <v>80</v>
      </c>
      <c r="C7" s="41">
        <v>2.2200000000000002</v>
      </c>
      <c r="D7" s="1">
        <v>830</v>
      </c>
    </row>
    <row r="8" spans="1:6" x14ac:dyDescent="0.35">
      <c r="A8">
        <v>5</v>
      </c>
      <c r="B8" t="s">
        <v>81</v>
      </c>
      <c r="C8" s="2"/>
      <c r="D8" s="2"/>
    </row>
    <row r="9" spans="1:6" x14ac:dyDescent="0.35">
      <c r="C9" s="2"/>
      <c r="D9" s="2"/>
    </row>
    <row r="10" spans="1:6" x14ac:dyDescent="0.35">
      <c r="C10" s="51">
        <v>126</v>
      </c>
      <c r="D10" s="2"/>
    </row>
    <row r="11" spans="1:6" x14ac:dyDescent="0.35">
      <c r="C11" s="2"/>
      <c r="D11" s="2"/>
    </row>
    <row r="12" spans="1:6" x14ac:dyDescent="0.35">
      <c r="C12" s="36" t="s">
        <v>0</v>
      </c>
      <c r="D12" s="36" t="s">
        <v>68</v>
      </c>
    </row>
    <row r="13" spans="1:6" x14ac:dyDescent="0.35">
      <c r="C13" s="2"/>
      <c r="D13" s="2"/>
    </row>
    <row r="14" spans="1:6" x14ac:dyDescent="0.35">
      <c r="B14" t="s">
        <v>82</v>
      </c>
      <c r="C14" s="43">
        <v>241</v>
      </c>
      <c r="D14" s="43">
        <v>1001</v>
      </c>
      <c r="F14">
        <v>1</v>
      </c>
    </row>
    <row r="15" spans="1:6" x14ac:dyDescent="0.35">
      <c r="C15" s="2"/>
      <c r="D15" s="2"/>
    </row>
    <row r="16" spans="1:6" x14ac:dyDescent="0.35">
      <c r="C16" s="2"/>
      <c r="D16" s="2"/>
    </row>
    <row r="17" spans="3:4" x14ac:dyDescent="0.35">
      <c r="C17" s="2"/>
      <c r="D17" s="2"/>
    </row>
    <row r="18" spans="3:4" x14ac:dyDescent="0.35">
      <c r="C18" s="2"/>
      <c r="D18" s="2"/>
    </row>
    <row r="19" spans="3:4" x14ac:dyDescent="0.35">
      <c r="C19" s="2"/>
      <c r="D19" s="2"/>
    </row>
    <row r="20" spans="3:4" x14ac:dyDescent="0.35">
      <c r="C20" s="2"/>
      <c r="D20" s="2"/>
    </row>
    <row r="21" spans="3:4" x14ac:dyDescent="0.35">
      <c r="C21" s="2"/>
      <c r="D21" s="2"/>
    </row>
    <row r="22" spans="3:4" x14ac:dyDescent="0.35">
      <c r="C22" s="2"/>
      <c r="D22" s="2"/>
    </row>
    <row r="23" spans="3:4" x14ac:dyDescent="0.35">
      <c r="C23" s="2"/>
      <c r="D23" s="2"/>
    </row>
    <row r="24" spans="3:4" x14ac:dyDescent="0.35">
      <c r="C24" s="2"/>
      <c r="D24" s="2"/>
    </row>
    <row r="25" spans="3:4" x14ac:dyDescent="0.35">
      <c r="C25" s="2"/>
      <c r="D25" s="2"/>
    </row>
  </sheetData>
  <sheetProtection formatCells="0" formatColumns="0" formatRows="0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3"/>
  <dimension ref="A3:B68"/>
  <sheetViews>
    <sheetView topLeftCell="A25" workbookViewId="0">
      <selection activeCell="J50" sqref="J50"/>
    </sheetView>
  </sheetViews>
  <sheetFormatPr defaultColWidth="8.81640625" defaultRowHeight="14.5" x14ac:dyDescent="0.35"/>
  <cols>
    <col min="1" max="1" width="8.81640625" style="45"/>
  </cols>
  <sheetData>
    <row r="3" spans="1:2" ht="18.5" x14ac:dyDescent="0.45">
      <c r="B3" s="44" t="s">
        <v>83</v>
      </c>
    </row>
    <row r="5" spans="1:2" x14ac:dyDescent="0.35">
      <c r="A5" s="45" t="s">
        <v>84</v>
      </c>
      <c r="B5" t="s">
        <v>85</v>
      </c>
    </row>
    <row r="6" spans="1:2" x14ac:dyDescent="0.35">
      <c r="B6" t="s">
        <v>86</v>
      </c>
    </row>
    <row r="7" spans="1:2" x14ac:dyDescent="0.35">
      <c r="B7" t="s">
        <v>87</v>
      </c>
    </row>
    <row r="8" spans="1:2" x14ac:dyDescent="0.35">
      <c r="B8" t="s">
        <v>88</v>
      </c>
    </row>
    <row r="10" spans="1:2" x14ac:dyDescent="0.35">
      <c r="A10" s="45" t="s">
        <v>89</v>
      </c>
      <c r="B10" t="s">
        <v>90</v>
      </c>
    </row>
    <row r="12" spans="1:2" x14ac:dyDescent="0.35">
      <c r="A12" s="45" t="s">
        <v>91</v>
      </c>
      <c r="B12" t="s">
        <v>92</v>
      </c>
    </row>
    <row r="13" spans="1:2" x14ac:dyDescent="0.35">
      <c r="B13" t="s">
        <v>93</v>
      </c>
    </row>
    <row r="15" spans="1:2" x14ac:dyDescent="0.35">
      <c r="A15" s="45" t="s">
        <v>94</v>
      </c>
      <c r="B15" t="s">
        <v>95</v>
      </c>
    </row>
    <row r="18" spans="1:2" ht="18.5" x14ac:dyDescent="0.45">
      <c r="B18" s="44" t="s">
        <v>0</v>
      </c>
    </row>
    <row r="20" spans="1:2" x14ac:dyDescent="0.35">
      <c r="A20" s="45" t="s">
        <v>84</v>
      </c>
      <c r="B20" t="s">
        <v>96</v>
      </c>
    </row>
    <row r="22" spans="1:2" x14ac:dyDescent="0.35">
      <c r="A22" s="45" t="s">
        <v>89</v>
      </c>
      <c r="B22" t="s">
        <v>97</v>
      </c>
    </row>
    <row r="23" spans="1:2" x14ac:dyDescent="0.35">
      <c r="B23" t="s">
        <v>98</v>
      </c>
    </row>
    <row r="25" spans="1:2" x14ac:dyDescent="0.35">
      <c r="A25" s="45" t="s">
        <v>91</v>
      </c>
      <c r="B25" t="s">
        <v>99</v>
      </c>
    </row>
    <row r="27" spans="1:2" x14ac:dyDescent="0.35">
      <c r="A27" s="45" t="s">
        <v>94</v>
      </c>
      <c r="B27" t="s">
        <v>100</v>
      </c>
    </row>
    <row r="29" spans="1:2" x14ac:dyDescent="0.35">
      <c r="A29" s="45" t="s">
        <v>101</v>
      </c>
      <c r="B29" t="s">
        <v>102</v>
      </c>
    </row>
    <row r="31" spans="1:2" x14ac:dyDescent="0.35">
      <c r="A31" s="45" t="s">
        <v>103</v>
      </c>
      <c r="B31" t="s">
        <v>104</v>
      </c>
    </row>
    <row r="33" spans="1:2" x14ac:dyDescent="0.35">
      <c r="A33" s="45" t="s">
        <v>105</v>
      </c>
      <c r="B33" t="s">
        <v>106</v>
      </c>
    </row>
    <row r="36" spans="1:2" ht="18.5" x14ac:dyDescent="0.45">
      <c r="B36" s="44" t="s">
        <v>107</v>
      </c>
    </row>
    <row r="38" spans="1:2" x14ac:dyDescent="0.35">
      <c r="A38" s="45" t="s">
        <v>84</v>
      </c>
      <c r="B38" t="s">
        <v>96</v>
      </c>
    </row>
    <row r="40" spans="1:2" x14ac:dyDescent="0.35">
      <c r="A40" s="45" t="s">
        <v>89</v>
      </c>
      <c r="B40" t="s">
        <v>108</v>
      </c>
    </row>
    <row r="42" spans="1:2" x14ac:dyDescent="0.35">
      <c r="A42" s="45" t="s">
        <v>91</v>
      </c>
      <c r="B42" t="s">
        <v>109</v>
      </c>
    </row>
    <row r="44" spans="1:2" x14ac:dyDescent="0.35">
      <c r="A44" s="45" t="s">
        <v>94</v>
      </c>
      <c r="B44" t="s">
        <v>110</v>
      </c>
    </row>
    <row r="46" spans="1:2" x14ac:dyDescent="0.35">
      <c r="A46" s="45" t="s">
        <v>101</v>
      </c>
      <c r="B46" t="s">
        <v>111</v>
      </c>
    </row>
    <row r="48" spans="1:2" x14ac:dyDescent="0.35">
      <c r="A48" s="45" t="s">
        <v>103</v>
      </c>
      <c r="B48" t="s">
        <v>106</v>
      </c>
    </row>
    <row r="50" spans="1:2" x14ac:dyDescent="0.35">
      <c r="A50" s="45" t="s">
        <v>105</v>
      </c>
      <c r="B50" t="s">
        <v>112</v>
      </c>
    </row>
    <row r="53" spans="1:2" ht="18.5" x14ac:dyDescent="0.45">
      <c r="B53" s="44" t="s">
        <v>113</v>
      </c>
    </row>
    <row r="55" spans="1:2" x14ac:dyDescent="0.35">
      <c r="A55" s="45" t="s">
        <v>84</v>
      </c>
      <c r="B55" t="s">
        <v>114</v>
      </c>
    </row>
    <row r="57" spans="1:2" x14ac:dyDescent="0.35">
      <c r="A57" s="45" t="s">
        <v>89</v>
      </c>
      <c r="B57" t="s">
        <v>115</v>
      </c>
    </row>
    <row r="59" spans="1:2" x14ac:dyDescent="0.35">
      <c r="A59" s="45" t="s">
        <v>91</v>
      </c>
      <c r="B59" t="s">
        <v>116</v>
      </c>
    </row>
    <row r="61" spans="1:2" x14ac:dyDescent="0.35">
      <c r="A61" s="45" t="s">
        <v>94</v>
      </c>
      <c r="B61" t="s">
        <v>117</v>
      </c>
    </row>
    <row r="64" spans="1:2" ht="18.5" x14ac:dyDescent="0.45">
      <c r="B64" s="44" t="s">
        <v>118</v>
      </c>
    </row>
    <row r="66" spans="1:2" x14ac:dyDescent="0.35">
      <c r="A66" s="45" t="s">
        <v>84</v>
      </c>
      <c r="B66" t="s">
        <v>119</v>
      </c>
    </row>
    <row r="68" spans="1:2" x14ac:dyDescent="0.35">
      <c r="A68" s="45" t="s">
        <v>89</v>
      </c>
      <c r="B68" t="s">
        <v>120</v>
      </c>
    </row>
  </sheetData>
  <sheetProtection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Afregningsbilag</vt:lpstr>
      <vt:lpstr>Faktura guld og sølv</vt:lpstr>
      <vt:lpstr>Faktura diverse</vt:lpstr>
      <vt:lpstr>Variable værdier</vt:lpstr>
      <vt:lpstr>Brugsanvisning</vt:lpstr>
      <vt:lpstr>Afregningsbilag!Print_Area</vt:lpstr>
      <vt:lpstr>'Faktura diverse'!Print_Area</vt:lpstr>
      <vt:lpstr>'Faktura guld og sølv'!Print_Area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Faktura</dc:title>
  <dc:subject/>
  <dc:creator>Ahmet Demir</dc:creator>
  <cp:keywords/>
  <dc:description>Faktura til Recai Demir</dc:description>
  <cp:lastModifiedBy>Recai Demir</cp:lastModifiedBy>
  <cp:revision/>
  <dcterms:created xsi:type="dcterms:W3CDTF">2012-11-22T14:12:14Z</dcterms:created>
  <dcterms:modified xsi:type="dcterms:W3CDTF">2026-01-19T19:37:35Z</dcterms:modified>
  <cp:category/>
  <cp:contentStatus/>
</cp:coreProperties>
</file>
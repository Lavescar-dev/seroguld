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serogulddk-my.sharepoint.com/personal/info_seroguld_dk/Documents/Sero Guld kopi/sero/CRM System -Efe/"/>
    </mc:Choice>
  </mc:AlternateContent>
  <xr:revisionPtr revIDLastSave="21" documentId="8_{793B846F-5CA5-4BE6-9ABD-FACE546DB309}" xr6:coauthVersionLast="47" xr6:coauthVersionMax="47" xr10:uidLastSave="{0244C3F8-74DA-4C26-A1C3-2825E0D532B4}"/>
  <bookViews>
    <workbookView xWindow="-110" yWindow="-110" windowWidth="19420" windowHeight="10300" xr2:uid="{00000000-000D-0000-FFFF-FFFF00000000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4" i="1" l="1"/>
  <c r="P9" i="1" l="1"/>
  <c r="U8" i="1" l="1"/>
  <c r="P8" i="1" l="1"/>
  <c r="O8" i="1"/>
  <c r="P7" i="1" l="1"/>
  <c r="O7" i="1"/>
  <c r="P6" i="1" l="1"/>
  <c r="O6" i="1"/>
  <c r="F22" i="1" l="1"/>
  <c r="J18" i="1"/>
  <c r="U18" i="1"/>
  <c r="T18" i="1"/>
  <c r="S18" i="1"/>
  <c r="N18" i="1"/>
  <c r="K18" i="1"/>
  <c r="I18" i="1"/>
  <c r="P18" i="1"/>
  <c r="O18" i="1"/>
  <c r="K22" i="1" l="1"/>
  <c r="L22" i="1"/>
  <c r="E34" i="1" s="1"/>
  <c r="M22" i="1"/>
  <c r="F34" i="1" s="1"/>
  <c r="E37" i="1" l="1"/>
  <c r="D37" i="1"/>
  <c r="F37" i="1"/>
  <c r="D88" i="1"/>
  <c r="E88" i="1"/>
  <c r="F88" i="1"/>
  <c r="F91" i="1" s="1"/>
  <c r="E97" i="1" s="1"/>
  <c r="E99" i="1"/>
  <c r="E47" i="1"/>
  <c r="F39" i="1" l="1"/>
  <c r="E45" i="1" s="1"/>
  <c r="E48" i="1" s="1"/>
  <c r="E100" i="1"/>
</calcChain>
</file>

<file path=xl/sharedStrings.xml><?xml version="1.0" encoding="utf-8"?>
<sst xmlns="http://schemas.openxmlformats.org/spreadsheetml/2006/main" count="127" uniqueCount="62">
  <si>
    <t>AU - Guld</t>
  </si>
  <si>
    <t xml:space="preserve">Sendt den  </t>
  </si>
  <si>
    <t xml:space="preserve">Reference: </t>
  </si>
  <si>
    <t>KN nr</t>
  </si>
  <si>
    <t>Dato</t>
  </si>
  <si>
    <t>Kunde</t>
  </si>
  <si>
    <t>Gram</t>
  </si>
  <si>
    <t>Kr.</t>
  </si>
  <si>
    <t>Finguld</t>
  </si>
  <si>
    <t>Sendt d.</t>
  </si>
  <si>
    <t>Købt d.</t>
  </si>
  <si>
    <t>Minus værdi</t>
  </si>
  <si>
    <t>I alt - før smeltning</t>
  </si>
  <si>
    <t>I alt - efter smeltning</t>
  </si>
  <si>
    <t>Resultat</t>
  </si>
  <si>
    <t>Difference i gram</t>
  </si>
  <si>
    <t>Forsikring</t>
  </si>
  <si>
    <t>Forsendelse</t>
  </si>
  <si>
    <t>Affinering</t>
  </si>
  <si>
    <t>Dato for Salg</t>
  </si>
  <si>
    <t>Fået Udbetalt Hvidovre</t>
  </si>
  <si>
    <t>Quote</t>
  </si>
  <si>
    <t>Fået Udbetalt i alt</t>
  </si>
  <si>
    <t>Avance Hvidovre</t>
  </si>
  <si>
    <t>Avance I alt:</t>
  </si>
  <si>
    <t>AG - Sølv</t>
  </si>
  <si>
    <t>Finsølv</t>
  </si>
  <si>
    <t xml:space="preserve">Total </t>
  </si>
  <si>
    <t>Forsikring Hvidovre</t>
  </si>
  <si>
    <t xml:space="preserve">Affinering </t>
  </si>
  <si>
    <t>Udbetalt</t>
  </si>
  <si>
    <t>Udbetalt i alt:</t>
  </si>
  <si>
    <t>Avance i alt:</t>
  </si>
  <si>
    <t>Købt fra d.</t>
  </si>
  <si>
    <t>kurs</t>
  </si>
  <si>
    <t>total</t>
  </si>
  <si>
    <t>DK</t>
  </si>
  <si>
    <t>x</t>
  </si>
  <si>
    <t xml:space="preserve">  år 2022</t>
  </si>
  <si>
    <t>Varernr.</t>
  </si>
  <si>
    <t>Vægt</t>
  </si>
  <si>
    <t>Købspris</t>
  </si>
  <si>
    <t>Total</t>
  </si>
  <si>
    <t>Lager</t>
  </si>
  <si>
    <t>S2512</t>
  </si>
  <si>
    <t>S2513</t>
  </si>
  <si>
    <t>S2514</t>
  </si>
  <si>
    <t>S2515</t>
  </si>
  <si>
    <t>- (4x25kurush, 1x50kurush, 1x250kurush lagt direkte på lager oversigt)</t>
  </si>
  <si>
    <t>Afg</t>
  </si>
  <si>
    <t>Lager/Hvdiguld/Spandlager</t>
  </si>
  <si>
    <t>xxx</t>
  </si>
  <si>
    <t xml:space="preserve">Til smykker lager (lagt direkte i poser klar til rens) Takilar icin, </t>
  </si>
  <si>
    <t>depolamay gondeerilenler (temizlenmeye hazir)</t>
  </si>
  <si>
    <t>Beyaz altin</t>
  </si>
  <si>
    <t>Ayri depolama (satilacak mi belli degil)</t>
  </si>
  <si>
    <t>Alis fiyat</t>
  </si>
  <si>
    <t>Has Altin</t>
  </si>
  <si>
    <t>Has altin</t>
  </si>
  <si>
    <t>År 2026</t>
  </si>
  <si>
    <t>Musteri</t>
  </si>
  <si>
    <t>Afg 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</si>
</sst>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kr.&quot;\ #,##0.00"/>
    <numFmt numFmtId="165" formatCode="#,##0.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25">
    <xf numFmtId="0" fontId="0" fillId="0" borderId="0" xfId="0"/>
    <xf numFmtId="0" fontId="1" fillId="0" borderId="0" xfId="1"/>
    <xf numFmtId="0" fontId="3" fillId="0" borderId="0" xfId="1" applyFont="1"/>
    <xf numFmtId="16" fontId="3" fillId="0" borderId="1" xfId="1" applyNumberFormat="1" applyFont="1" applyBorder="1"/>
    <xf numFmtId="0" fontId="3" fillId="0" borderId="0" xfId="1" applyFont="1" applyAlignment="1">
      <alignment horizontal="left"/>
    </xf>
    <xf numFmtId="0" fontId="4" fillId="0" borderId="0" xfId="1" applyFont="1"/>
    <xf numFmtId="0" fontId="3" fillId="0" borderId="1" xfId="1" applyFont="1" applyBorder="1"/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left"/>
    </xf>
    <xf numFmtId="0" fontId="5" fillId="4" borderId="10" xfId="3" applyFont="1" applyFill="1" applyBorder="1" applyAlignment="1">
      <alignment horizontal="right"/>
    </xf>
    <xf numFmtId="14" fontId="4" fillId="4" borderId="1" xfId="4" applyNumberFormat="1" applyFont="1" applyFill="1" applyBorder="1" applyAlignment="1">
      <alignment horizontal="center"/>
    </xf>
    <xf numFmtId="14" fontId="4" fillId="4" borderId="1" xfId="4" applyNumberFormat="1" applyFont="1" applyFill="1" applyBorder="1" applyAlignment="1">
      <alignment horizontal="left"/>
    </xf>
    <xf numFmtId="2" fontId="4" fillId="4" borderId="1" xfId="4" applyNumberFormat="1" applyFont="1" applyFill="1" applyBorder="1" applyAlignment="1">
      <alignment horizontal="center"/>
    </xf>
    <xf numFmtId="164" fontId="4" fillId="4" borderId="1" xfId="4" applyNumberFormat="1" applyFont="1" applyFill="1" applyBorder="1" applyAlignment="1">
      <alignment horizontal="center"/>
    </xf>
    <xf numFmtId="0" fontId="4" fillId="6" borderId="10" xfId="1" applyFont="1" applyFill="1" applyBorder="1" applyAlignment="1">
      <alignment horizontal="left"/>
    </xf>
    <xf numFmtId="16" fontId="1" fillId="7" borderId="13" xfId="1" applyNumberFormat="1" applyFill="1" applyBorder="1" applyAlignment="1">
      <alignment horizontal="center"/>
    </xf>
    <xf numFmtId="14" fontId="1" fillId="7" borderId="6" xfId="1" applyNumberFormat="1" applyFill="1" applyBorder="1"/>
    <xf numFmtId="4" fontId="1" fillId="7" borderId="5" xfId="1" applyNumberFormat="1" applyFill="1" applyBorder="1" applyAlignment="1">
      <alignment horizontal="center"/>
    </xf>
    <xf numFmtId="4" fontId="1" fillId="5" borderId="5" xfId="1" applyNumberFormat="1" applyFill="1" applyBorder="1" applyAlignment="1">
      <alignment horizontal="center"/>
    </xf>
    <xf numFmtId="4" fontId="1" fillId="5" borderId="17" xfId="1" applyNumberFormat="1" applyFill="1" applyBorder="1" applyAlignment="1">
      <alignment horizontal="center"/>
    </xf>
    <xf numFmtId="0" fontId="4" fillId="3" borderId="9" xfId="1" applyFont="1" applyFill="1" applyBorder="1" applyAlignment="1">
      <alignment horizontal="left"/>
    </xf>
    <xf numFmtId="0" fontId="1" fillId="3" borderId="8" xfId="1" applyFill="1" applyBorder="1" applyAlignment="1">
      <alignment horizontal="center"/>
    </xf>
    <xf numFmtId="0" fontId="1" fillId="3" borderId="11" xfId="1" applyFill="1" applyBorder="1"/>
    <xf numFmtId="0" fontId="7" fillId="8" borderId="8" xfId="1" applyFont="1" applyFill="1" applyBorder="1" applyAlignment="1">
      <alignment horizontal="center"/>
    </xf>
    <xf numFmtId="0" fontId="7" fillId="8" borderId="11" xfId="1" applyFont="1" applyFill="1" applyBorder="1" applyAlignment="1">
      <alignment horizontal="center"/>
    </xf>
    <xf numFmtId="0" fontId="4" fillId="9" borderId="18" xfId="1" applyFont="1" applyFill="1" applyBorder="1" applyAlignment="1">
      <alignment horizontal="left"/>
    </xf>
    <xf numFmtId="0" fontId="1" fillId="9" borderId="1" xfId="1" applyFill="1" applyBorder="1" applyAlignment="1">
      <alignment horizontal="center"/>
    </xf>
    <xf numFmtId="0" fontId="1" fillId="9" borderId="19" xfId="1" applyFill="1" applyBorder="1"/>
    <xf numFmtId="0" fontId="7" fillId="8" borderId="1" xfId="1" applyFont="1" applyFill="1" applyBorder="1" applyAlignment="1">
      <alignment horizontal="center"/>
    </xf>
    <xf numFmtId="0" fontId="7" fillId="9" borderId="20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left"/>
    </xf>
    <xf numFmtId="0" fontId="1" fillId="3" borderId="1" xfId="1" applyFill="1" applyBorder="1"/>
    <xf numFmtId="0" fontId="1" fillId="3" borderId="11" xfId="1" applyFill="1" applyBorder="1" applyAlignment="1">
      <alignment horizontal="center"/>
    </xf>
    <xf numFmtId="0" fontId="7" fillId="8" borderId="21" xfId="1" applyFont="1" applyFill="1" applyBorder="1"/>
    <xf numFmtId="2" fontId="7" fillId="9" borderId="22" xfId="1" applyNumberFormat="1" applyFont="1" applyFill="1" applyBorder="1" applyAlignment="1">
      <alignment horizontal="center"/>
    </xf>
    <xf numFmtId="0" fontId="4" fillId="6" borderId="1" xfId="1" applyFont="1" applyFill="1" applyBorder="1" applyAlignment="1">
      <alignment horizontal="left"/>
    </xf>
    <xf numFmtId="0" fontId="1" fillId="6" borderId="1" xfId="1" applyFill="1" applyBorder="1"/>
    <xf numFmtId="0" fontId="1" fillId="6" borderId="0" xfId="1" applyFill="1"/>
    <xf numFmtId="0" fontId="1" fillId="6" borderId="0" xfId="1" applyFill="1" applyAlignment="1">
      <alignment horizontal="center"/>
    </xf>
    <xf numFmtId="0" fontId="7" fillId="6" borderId="0" xfId="1" applyFont="1" applyFill="1"/>
    <xf numFmtId="2" fontId="7" fillId="6" borderId="23" xfId="1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right"/>
    </xf>
    <xf numFmtId="0" fontId="4" fillId="6" borderId="0" xfId="1" applyFont="1" applyFill="1"/>
    <xf numFmtId="0" fontId="5" fillId="0" borderId="0" xfId="1" applyFont="1"/>
    <xf numFmtId="0" fontId="6" fillId="0" borderId="23" xfId="1" applyFont="1" applyBorder="1"/>
    <xf numFmtId="0" fontId="5" fillId="0" borderId="23" xfId="1" applyFont="1" applyBorder="1" applyAlignment="1">
      <alignment horizontal="center"/>
    </xf>
    <xf numFmtId="0" fontId="4" fillId="6" borderId="0" xfId="1" applyFont="1" applyFill="1" applyAlignment="1">
      <alignment horizontal="left"/>
    </xf>
    <xf numFmtId="4" fontId="4" fillId="0" borderId="0" xfId="1" applyNumberFormat="1" applyFont="1" applyAlignment="1">
      <alignment horizontal="right"/>
    </xf>
    <xf numFmtId="0" fontId="1" fillId="0" borderId="23" xfId="1" applyBorder="1"/>
    <xf numFmtId="2" fontId="4" fillId="6" borderId="1" xfId="1" applyNumberFormat="1" applyFont="1" applyFill="1" applyBorder="1" applyAlignment="1">
      <alignment horizontal="right"/>
    </xf>
    <xf numFmtId="0" fontId="4" fillId="10" borderId="1" xfId="1" applyFont="1" applyFill="1" applyBorder="1" applyAlignment="1">
      <alignment horizontal="left"/>
    </xf>
    <xf numFmtId="16" fontId="4" fillId="0" borderId="1" xfId="1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/>
    </xf>
    <xf numFmtId="2" fontId="4" fillId="11" borderId="1" xfId="1" applyNumberFormat="1" applyFont="1" applyFill="1" applyBorder="1" applyAlignment="1">
      <alignment horizontal="right"/>
    </xf>
    <xf numFmtId="165" fontId="4" fillId="0" borderId="1" xfId="1" applyNumberFormat="1" applyFont="1" applyBorder="1" applyAlignment="1">
      <alignment horizontal="right"/>
    </xf>
    <xf numFmtId="0" fontId="4" fillId="11" borderId="1" xfId="1" applyFont="1" applyFill="1" applyBorder="1" applyAlignment="1">
      <alignment horizontal="left"/>
    </xf>
    <xf numFmtId="4" fontId="4" fillId="0" borderId="1" xfId="1" applyNumberFormat="1" applyFont="1" applyBorder="1" applyAlignment="1">
      <alignment horizontal="right"/>
    </xf>
    <xf numFmtId="0" fontId="4" fillId="6" borderId="1" xfId="5" applyFont="1" applyFill="1" applyBorder="1"/>
    <xf numFmtId="164" fontId="4" fillId="6" borderId="1" xfId="5" applyNumberFormat="1" applyFont="1" applyFill="1" applyBorder="1"/>
    <xf numFmtId="4" fontId="5" fillId="0" borderId="0" xfId="1" applyNumberFormat="1" applyFont="1"/>
    <xf numFmtId="0" fontId="4" fillId="2" borderId="1" xfId="5" applyFont="1" applyFill="1" applyBorder="1"/>
    <xf numFmtId="164" fontId="4" fillId="0" borderId="1" xfId="5" applyNumberFormat="1" applyFont="1" applyBorder="1"/>
    <xf numFmtId="0" fontId="4" fillId="12" borderId="1" xfId="5" applyFont="1" applyFill="1" applyBorder="1"/>
    <xf numFmtId="164" fontId="4" fillId="12" borderId="1" xfId="5" applyNumberFormat="1" applyFont="1" applyFill="1" applyBorder="1"/>
    <xf numFmtId="0" fontId="1" fillId="0" borderId="11" xfId="1" applyBorder="1"/>
    <xf numFmtId="0" fontId="1" fillId="0" borderId="22" xfId="1" applyBorder="1"/>
    <xf numFmtId="0" fontId="8" fillId="0" borderId="0" xfId="5"/>
    <xf numFmtId="0" fontId="1" fillId="0" borderId="1" xfId="1" applyBorder="1"/>
    <xf numFmtId="16" fontId="1" fillId="14" borderId="13" xfId="1" applyNumberFormat="1" applyFill="1" applyBorder="1" applyAlignment="1">
      <alignment horizontal="center"/>
    </xf>
    <xf numFmtId="14" fontId="1" fillId="14" borderId="6" xfId="1" applyNumberFormat="1" applyFill="1" applyBorder="1"/>
    <xf numFmtId="4" fontId="1" fillId="14" borderId="5" xfId="1" applyNumberFormat="1" applyFill="1" applyBorder="1" applyAlignment="1">
      <alignment horizontal="center"/>
    </xf>
    <xf numFmtId="4" fontId="1" fillId="5" borderId="7" xfId="1" applyNumberFormat="1" applyFill="1" applyBorder="1" applyAlignment="1">
      <alignment horizontal="center"/>
    </xf>
    <xf numFmtId="0" fontId="4" fillId="15" borderId="10" xfId="1" applyFont="1" applyFill="1" applyBorder="1" applyAlignment="1">
      <alignment horizontal="left"/>
    </xf>
    <xf numFmtId="16" fontId="1" fillId="15" borderId="14" xfId="1" applyNumberFormat="1" applyFill="1" applyBorder="1" applyAlignment="1">
      <alignment horizontal="center"/>
    </xf>
    <xf numFmtId="14" fontId="1" fillId="15" borderId="15" xfId="1" applyNumberFormat="1" applyFill="1" applyBorder="1"/>
    <xf numFmtId="4" fontId="1" fillId="15" borderId="16" xfId="1" applyNumberFormat="1" applyFill="1" applyBorder="1" applyAlignment="1">
      <alignment horizontal="center"/>
    </xf>
    <xf numFmtId="0" fontId="7" fillId="8" borderId="1" xfId="1" applyFont="1" applyFill="1" applyBorder="1"/>
    <xf numFmtId="14" fontId="4" fillId="0" borderId="0" xfId="1" applyNumberFormat="1" applyFont="1"/>
    <xf numFmtId="0" fontId="4" fillId="16" borderId="1" xfId="1" applyFont="1" applyFill="1" applyBorder="1" applyAlignment="1">
      <alignment horizontal="left"/>
    </xf>
    <xf numFmtId="0" fontId="4" fillId="0" borderId="0" xfId="1" applyFont="1" applyAlignment="1">
      <alignment horizontal="left"/>
    </xf>
    <xf numFmtId="2" fontId="4" fillId="0" borderId="1" xfId="1" applyNumberFormat="1" applyFont="1" applyBorder="1" applyAlignment="1">
      <alignment horizontal="right"/>
    </xf>
    <xf numFmtId="0" fontId="4" fillId="17" borderId="1" xfId="1" applyFont="1" applyFill="1" applyBorder="1" applyAlignment="1">
      <alignment horizontal="left"/>
    </xf>
    <xf numFmtId="0" fontId="4" fillId="12" borderId="1" xfId="1" applyFont="1" applyFill="1" applyBorder="1" applyAlignment="1">
      <alignment horizontal="left"/>
    </xf>
    <xf numFmtId="2" fontId="4" fillId="12" borderId="1" xfId="1" applyNumberFormat="1" applyFont="1" applyFill="1" applyBorder="1" applyAlignment="1">
      <alignment horizontal="right"/>
    </xf>
    <xf numFmtId="0" fontId="1" fillId="10" borderId="1" xfId="1" applyFill="1" applyBorder="1"/>
    <xf numFmtId="0" fontId="0" fillId="0" borderId="1" xfId="0" applyBorder="1"/>
    <xf numFmtId="0" fontId="0" fillId="6" borderId="0" xfId="0" applyFill="1"/>
    <xf numFmtId="4" fontId="0" fillId="6" borderId="0" xfId="0" applyNumberFormat="1" applyFill="1"/>
    <xf numFmtId="14" fontId="1" fillId="0" borderId="1" xfId="3" applyNumberFormat="1" applyBorder="1" applyAlignment="1">
      <alignment horizontal="center"/>
    </xf>
    <xf numFmtId="0" fontId="1" fillId="0" borderId="1" xfId="2" applyBorder="1" applyAlignment="1">
      <alignment horizontal="center"/>
    </xf>
    <xf numFmtId="14" fontId="1" fillId="0" borderId="1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left"/>
      <protection locked="0"/>
    </xf>
    <xf numFmtId="4" fontId="1" fillId="0" borderId="1" xfId="2" applyNumberFormat="1" applyBorder="1" applyAlignment="1" applyProtection="1">
      <alignment horizontal="right"/>
      <protection locked="0"/>
    </xf>
    <xf numFmtId="4" fontId="1" fillId="0" borderId="1" xfId="2" applyNumberFormat="1" applyBorder="1" applyAlignment="1">
      <alignment horizontal="right"/>
    </xf>
    <xf numFmtId="0" fontId="4" fillId="0" borderId="1" xfId="1" applyFont="1" applyBorder="1" applyAlignment="1">
      <alignment horizontal="right"/>
    </xf>
    <xf numFmtId="14" fontId="1" fillId="0" borderId="1" xfId="2" applyNumberFormat="1" applyBorder="1" applyAlignment="1" applyProtection="1">
      <alignment horizontal="left"/>
      <protection locked="0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4" fillId="3" borderId="4" xfId="1" applyFont="1" applyFill="1" applyBorder="1" applyAlignment="1">
      <alignment horizontal="center"/>
    </xf>
    <xf numFmtId="0" fontId="4" fillId="3" borderId="24" xfId="1" applyFont="1" applyFill="1" applyBorder="1" applyAlignment="1">
      <alignment horizontal="center"/>
    </xf>
    <xf numFmtId="14" fontId="1" fillId="0" borderId="1" xfId="2" applyNumberFormat="1" applyBorder="1" applyAlignment="1" applyProtection="1">
      <alignment horizontal="center" vertical="center"/>
      <protection locked="0"/>
    </xf>
    <xf numFmtId="0" fontId="12" fillId="0" borderId="1" xfId="0" applyFont="1" applyBorder="1" applyProtection="1">
      <protection locked="0"/>
    </xf>
    <xf numFmtId="0" fontId="1" fillId="0" borderId="1" xfId="2" applyBorder="1" applyAlignment="1">
      <alignment horizontal="center" vertical="center"/>
    </xf>
    <xf numFmtId="0" fontId="0" fillId="0" borderId="1" xfId="0" applyBorder="1" applyProtection="1">
      <protection locked="0"/>
    </xf>
    <xf numFmtId="2" fontId="4" fillId="4" borderId="21" xfId="4" applyNumberFormat="1" applyFont="1" applyFill="1" applyBorder="1" applyAlignment="1">
      <alignment horizontal="center"/>
    </xf>
    <xf numFmtId="14" fontId="1" fillId="0" borderId="1" xfId="2" applyNumberFormat="1" applyBorder="1" applyAlignment="1">
      <alignment horizontal="center"/>
    </xf>
    <xf numFmtId="14" fontId="1" fillId="0" borderId="1" xfId="2" applyNumberFormat="1" applyBorder="1" applyAlignment="1">
      <alignment horizontal="left"/>
    </xf>
    <xf numFmtId="2" fontId="7" fillId="9" borderId="20" xfId="1" applyNumberFormat="1" applyFont="1" applyFill="1" applyBorder="1" applyAlignment="1">
      <alignment horizontal="center"/>
    </xf>
    <xf numFmtId="20" fontId="1" fillId="0" borderId="1" xfId="3" applyNumberFormat="1" applyBorder="1" applyAlignment="1">
      <alignment horizontal="center"/>
    </xf>
    <xf numFmtId="4" fontId="1" fillId="0" borderId="0" xfId="2" applyNumberFormat="1" applyAlignment="1" applyProtection="1">
      <alignment horizontal="right"/>
      <protection locked="0"/>
    </xf>
    <xf numFmtId="4" fontId="1" fillId="0" borderId="0" xfId="2" applyNumberFormat="1" applyAlignment="1" applyProtection="1">
      <alignment horizontal="left"/>
      <protection locked="0"/>
    </xf>
    <xf numFmtId="0" fontId="0" fillId="0" borderId="11" xfId="0" applyBorder="1"/>
    <xf numFmtId="0" fontId="0" fillId="0" borderId="0" xfId="0" applyAlignment="1">
      <alignment horizontal="right"/>
    </xf>
    <xf numFmtId="0" fontId="1" fillId="0" borderId="11" xfId="2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2" fontId="4" fillId="5" borderId="12" xfId="4" applyNumberFormat="1" applyFont="1" applyFill="1" applyBorder="1" applyAlignment="1">
      <alignment horizontal="center"/>
    </xf>
    <xf numFmtId="0" fontId="1" fillId="0" borderId="22" xfId="1" applyBorder="1" applyAlignment="1">
      <alignment horizontal="center"/>
    </xf>
    <xf numFmtId="0" fontId="0" fillId="17" borderId="0" xfId="0" quotePrefix="1" applyFill="1"/>
    <xf numFmtId="0" fontId="0" fillId="17" borderId="0" xfId="0" applyFill="1"/>
    <xf numFmtId="0" fontId="2" fillId="2" borderId="0" xfId="1" applyFont="1" applyFill="1" applyAlignment="1">
      <alignment horizontal="center"/>
    </xf>
    <xf numFmtId="0" fontId="9" fillId="13" borderId="0" xfId="1" applyFont="1" applyFill="1" applyAlignment="1">
      <alignment horizontal="center"/>
    </xf>
  </cellXfs>
  <cellStyles count="8">
    <cellStyle name="Followed Hyperlink" xfId="7" builtinId="9" hidden="1"/>
    <cellStyle name="Hyperlink" xfId="6" builtinId="8" hidden="1"/>
    <cellStyle name="Normal" xfId="0" builtinId="0"/>
    <cellStyle name="Normal 10" xfId="4" xr:uid="{00000000-0005-0000-0000-000003000000}"/>
    <cellStyle name="Normal 2" xfId="5" xr:uid="{00000000-0005-0000-0000-000004000000}"/>
    <cellStyle name="Normal 2 2 2 2" xfId="2" xr:uid="{00000000-0005-0000-0000-000005000000}"/>
    <cellStyle name="Normal 4 2" xfId="3" xr:uid="{00000000-0005-0000-0000-000006000000}"/>
    <cellStyle name="Normal 56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B102"/>
  <sheetViews>
    <sheetView tabSelected="1" zoomScale="80" zoomScaleNormal="80" zoomScalePageLayoutView="150" workbookViewId="0">
      <selection activeCell="C15" sqref="C15"/>
    </sheetView>
  </sheetViews>
  <sheetFormatPr defaultColWidth="8.7265625" defaultRowHeight="14.5" x14ac:dyDescent="0.35"/>
  <cols>
    <col min="1" max="1" width="13.1796875" customWidth="1"/>
    <col min="2" max="2" width="17.1796875" customWidth="1"/>
    <col min="3" max="3" width="24.7265625" customWidth="1"/>
    <col min="4" max="4" width="10.54296875" customWidth="1"/>
    <col min="5" max="5" width="17.453125" customWidth="1"/>
    <col min="6" max="6" width="11.1796875" customWidth="1"/>
    <col min="7" max="7" width="12.7265625" style="117" customWidth="1"/>
    <col min="10" max="10" width="10" bestFit="1" customWidth="1"/>
  </cols>
  <sheetData>
    <row r="3" spans="1:28" x14ac:dyDescent="0.35">
      <c r="H3" s="112" t="s">
        <v>52</v>
      </c>
    </row>
    <row r="4" spans="1:28" ht="18" x14ac:dyDescent="0.4">
      <c r="A4" s="123" t="s">
        <v>0</v>
      </c>
      <c r="B4" s="123"/>
      <c r="C4" s="123"/>
      <c r="D4" s="123"/>
      <c r="E4" s="123"/>
      <c r="F4" s="123"/>
      <c r="G4" s="118"/>
      <c r="H4" t="s">
        <v>53</v>
      </c>
      <c r="I4" s="111"/>
      <c r="N4" t="s">
        <v>54</v>
      </c>
      <c r="S4" t="s">
        <v>55</v>
      </c>
    </row>
    <row r="5" spans="1:28" ht="16" thickBot="1" x14ac:dyDescent="0.4">
      <c r="A5" s="2" t="s">
        <v>1</v>
      </c>
      <c r="B5" s="3"/>
      <c r="C5" s="4" t="s">
        <v>59</v>
      </c>
      <c r="D5" s="5" t="s">
        <v>2</v>
      </c>
      <c r="E5" s="6"/>
      <c r="F5" s="1"/>
      <c r="G5" s="118"/>
      <c r="H5" s="113" t="s">
        <v>39</v>
      </c>
      <c r="I5" s="113" t="s">
        <v>40</v>
      </c>
      <c r="J5" s="113" t="s">
        <v>41</v>
      </c>
      <c r="K5" s="113" t="s">
        <v>8</v>
      </c>
      <c r="L5" s="113"/>
      <c r="N5" s="113" t="s">
        <v>40</v>
      </c>
      <c r="O5" s="113" t="s">
        <v>41</v>
      </c>
      <c r="P5" s="113" t="s">
        <v>8</v>
      </c>
      <c r="R5" s="113" t="s">
        <v>49</v>
      </c>
      <c r="S5" s="113" t="s">
        <v>40</v>
      </c>
      <c r="T5" s="113" t="s">
        <v>41</v>
      </c>
      <c r="U5" s="113" t="s">
        <v>8</v>
      </c>
      <c r="V5" s="113"/>
      <c r="W5" s="113"/>
    </row>
    <row r="6" spans="1:28" x14ac:dyDescent="0.35">
      <c r="A6" s="7" t="s">
        <v>61</v>
      </c>
      <c r="B6" s="8" t="s">
        <v>4</v>
      </c>
      <c r="C6" s="9" t="s">
        <v>60</v>
      </c>
      <c r="D6" s="8" t="s">
        <v>6</v>
      </c>
      <c r="E6" s="100" t="s">
        <v>7</v>
      </c>
      <c r="F6" s="101" t="s">
        <v>58</v>
      </c>
      <c r="N6">
        <v>6.26</v>
      </c>
      <c r="O6">
        <f>+N6*598</f>
        <v>3743.48</v>
      </c>
      <c r="P6">
        <f>+N6*0.75</f>
        <v>4.6950000000000003</v>
      </c>
    </row>
    <row r="7" spans="1:28" x14ac:dyDescent="0.35">
      <c r="A7" s="91"/>
      <c r="B7" s="110"/>
      <c r="C7" s="105"/>
      <c r="D7" s="94"/>
      <c r="E7" s="94"/>
      <c r="F7" s="94"/>
      <c r="H7" t="s">
        <v>44</v>
      </c>
      <c r="I7">
        <v>2.74</v>
      </c>
      <c r="J7">
        <v>1777.98</v>
      </c>
      <c r="K7">
        <v>2.1829999999999998</v>
      </c>
      <c r="N7">
        <v>6.41</v>
      </c>
      <c r="O7">
        <f>+N7*475</f>
        <v>3044.75</v>
      </c>
      <c r="P7">
        <f>+N7*0.585</f>
        <v>3.7498499999999999</v>
      </c>
      <c r="R7">
        <v>9691</v>
      </c>
      <c r="S7">
        <v>28.06</v>
      </c>
      <c r="T7">
        <v>21646.89</v>
      </c>
      <c r="U7">
        <v>25.706620000000001</v>
      </c>
      <c r="V7" s="121" t="s">
        <v>48</v>
      </c>
      <c r="W7" s="122"/>
      <c r="X7" s="122"/>
      <c r="Y7" s="122"/>
      <c r="Z7" s="122"/>
      <c r="AA7" s="122"/>
      <c r="AB7" s="122"/>
    </row>
    <row r="8" spans="1:28" x14ac:dyDescent="0.35">
      <c r="A8" s="91"/>
      <c r="B8" s="90"/>
      <c r="C8" s="105"/>
      <c r="D8" s="94"/>
      <c r="E8" s="94"/>
      <c r="F8" s="94"/>
      <c r="H8" t="s">
        <v>45</v>
      </c>
      <c r="I8">
        <v>22.77</v>
      </c>
      <c r="J8">
        <v>10815.8</v>
      </c>
      <c r="K8">
        <v>13.320499999999999</v>
      </c>
      <c r="N8">
        <v>4.47</v>
      </c>
      <c r="O8">
        <f>+N8*475</f>
        <v>2123.25</v>
      </c>
      <c r="P8">
        <f>+N8*0.585</f>
        <v>2.6149499999999999</v>
      </c>
      <c r="R8">
        <v>9692</v>
      </c>
      <c r="S8">
        <v>70</v>
      </c>
      <c r="T8">
        <v>52500</v>
      </c>
      <c r="U8">
        <f>+S8*0.916</f>
        <v>64.12</v>
      </c>
    </row>
    <row r="9" spans="1:28" x14ac:dyDescent="0.35">
      <c r="A9" s="91"/>
      <c r="B9" s="90"/>
      <c r="C9" s="105" t="s">
        <v>43</v>
      </c>
      <c r="D9" s="94">
        <v>50.02</v>
      </c>
      <c r="E9" s="94">
        <v>25338.6</v>
      </c>
      <c r="F9" s="94">
        <v>34.304000000000002</v>
      </c>
      <c r="G9" s="117" t="s">
        <v>37</v>
      </c>
      <c r="H9" t="s">
        <v>46</v>
      </c>
      <c r="I9" s="111">
        <v>2.6</v>
      </c>
      <c r="J9" s="111">
        <v>1606.8</v>
      </c>
      <c r="K9" s="111">
        <v>1.95</v>
      </c>
      <c r="L9" s="114"/>
      <c r="N9" s="111">
        <v>4.18</v>
      </c>
      <c r="O9" s="111">
        <v>2583.2399999999998</v>
      </c>
      <c r="P9">
        <f>+N9*0.75</f>
        <v>3.1349999999999998</v>
      </c>
    </row>
    <row r="10" spans="1:28" x14ac:dyDescent="0.35">
      <c r="A10" s="115">
        <v>9680</v>
      </c>
      <c r="B10" s="92"/>
      <c r="C10" s="116" t="s">
        <v>51</v>
      </c>
      <c r="D10" s="94">
        <v>13.32</v>
      </c>
      <c r="E10" s="94">
        <v>6180.48</v>
      </c>
      <c r="F10" s="94">
        <v>7.7921999999999993</v>
      </c>
      <c r="G10" s="117" t="s">
        <v>37</v>
      </c>
      <c r="H10" t="s">
        <v>47</v>
      </c>
      <c r="I10" s="111">
        <v>5.94</v>
      </c>
      <c r="J10" s="111">
        <v>3163.51</v>
      </c>
      <c r="K10" s="111">
        <v>3.4748999999999999</v>
      </c>
    </row>
    <row r="11" spans="1:28" x14ac:dyDescent="0.35">
      <c r="A11" s="115">
        <v>9681</v>
      </c>
      <c r="B11" s="92"/>
      <c r="C11" s="116" t="s">
        <v>51</v>
      </c>
      <c r="D11" s="94">
        <v>6.97</v>
      </c>
      <c r="E11" s="94">
        <v>4147.1499999999996</v>
      </c>
      <c r="F11" s="94">
        <v>5.2275</v>
      </c>
      <c r="G11" s="117" t="s">
        <v>37</v>
      </c>
    </row>
    <row r="12" spans="1:28" x14ac:dyDescent="0.35">
      <c r="A12" s="115">
        <v>9682</v>
      </c>
      <c r="B12" s="92"/>
      <c r="C12" s="116" t="s">
        <v>51</v>
      </c>
      <c r="D12" s="94">
        <v>137.75</v>
      </c>
      <c r="E12" s="94">
        <v>61923.18</v>
      </c>
      <c r="F12" s="94">
        <v>77.448569999999989</v>
      </c>
      <c r="G12" s="117" t="s">
        <v>37</v>
      </c>
    </row>
    <row r="13" spans="1:28" x14ac:dyDescent="0.35">
      <c r="A13" s="115">
        <v>9683</v>
      </c>
      <c r="B13" s="92"/>
      <c r="C13" s="116" t="s">
        <v>51</v>
      </c>
      <c r="D13" s="94">
        <v>2.74</v>
      </c>
      <c r="E13" s="94">
        <v>1777.98</v>
      </c>
      <c r="F13" s="94">
        <v>2.1834740000000004</v>
      </c>
      <c r="G13" s="117" t="s">
        <v>37</v>
      </c>
    </row>
    <row r="14" spans="1:28" x14ac:dyDescent="0.35">
      <c r="A14" s="115">
        <v>9684</v>
      </c>
      <c r="B14" s="92"/>
      <c r="C14" s="116" t="s">
        <v>51</v>
      </c>
      <c r="D14" s="94">
        <v>21.3</v>
      </c>
      <c r="E14" s="94">
        <v>10074.9</v>
      </c>
      <c r="F14" s="94">
        <v>12.4605</v>
      </c>
      <c r="G14" s="117" t="s">
        <v>37</v>
      </c>
      <c r="H14" s="111"/>
    </row>
    <row r="15" spans="1:28" x14ac:dyDescent="0.35">
      <c r="A15" s="115">
        <v>9687</v>
      </c>
      <c r="B15" s="92"/>
      <c r="C15" s="116" t="s">
        <v>51</v>
      </c>
      <c r="D15" s="94">
        <v>22.77</v>
      </c>
      <c r="E15" s="94">
        <v>10815.75</v>
      </c>
      <c r="F15" s="94">
        <v>13.320449999999999</v>
      </c>
      <c r="G15" s="117" t="s">
        <v>37</v>
      </c>
      <c r="H15" s="111"/>
    </row>
    <row r="16" spans="1:28" x14ac:dyDescent="0.35">
      <c r="A16" s="115">
        <v>9688</v>
      </c>
      <c r="B16" s="92"/>
      <c r="C16" s="116" t="s">
        <v>51</v>
      </c>
      <c r="D16" s="94">
        <v>10.3</v>
      </c>
      <c r="E16" s="94">
        <v>4892.5</v>
      </c>
      <c r="F16" s="94">
        <v>6.0255000000000001</v>
      </c>
      <c r="G16" s="117" t="s">
        <v>37</v>
      </c>
    </row>
    <row r="17" spans="1:23" x14ac:dyDescent="0.35">
      <c r="A17" s="115">
        <v>9689</v>
      </c>
      <c r="B17" s="92"/>
      <c r="C17" s="116" t="s">
        <v>51</v>
      </c>
      <c r="D17" s="94">
        <v>11.21</v>
      </c>
      <c r="E17" s="94">
        <v>5324.75</v>
      </c>
      <c r="F17" s="94">
        <v>6.5578500000000002</v>
      </c>
      <c r="G17" s="117" t="s">
        <v>37</v>
      </c>
      <c r="H17" s="113"/>
      <c r="I17" s="113"/>
      <c r="J17" s="113"/>
      <c r="K17" s="113"/>
      <c r="L17" s="113"/>
      <c r="N17" s="113"/>
      <c r="O17" s="113"/>
      <c r="P17" s="113"/>
      <c r="S17" s="113"/>
      <c r="T17" s="113"/>
      <c r="U17" s="113"/>
      <c r="V17" s="113"/>
      <c r="W17" s="113"/>
    </row>
    <row r="18" spans="1:23" x14ac:dyDescent="0.35">
      <c r="A18" s="115">
        <v>9690</v>
      </c>
      <c r="B18" s="92"/>
      <c r="C18" s="116" t="s">
        <v>51</v>
      </c>
      <c r="D18" s="94">
        <v>24.95</v>
      </c>
      <c r="E18" s="94">
        <v>14210.060000000001</v>
      </c>
      <c r="F18" s="94">
        <v>17.25525</v>
      </c>
      <c r="G18" s="117" t="s">
        <v>37</v>
      </c>
      <c r="H18" s="111"/>
      <c r="I18">
        <f>SUM(I6:I17)</f>
        <v>34.049999999999997</v>
      </c>
      <c r="J18">
        <f>SUM(J6:J17)</f>
        <v>17364.089999999997</v>
      </c>
      <c r="K18">
        <f t="shared" ref="K18" si="0">SUM(K6:K17)</f>
        <v>20.928399999999996</v>
      </c>
      <c r="N18">
        <f>SUM(N6:N17)</f>
        <v>21.32</v>
      </c>
      <c r="O18">
        <f t="shared" ref="O18:P18" si="1">SUM(O6:O17)</f>
        <v>11494.72</v>
      </c>
      <c r="P18">
        <f t="shared" si="1"/>
        <v>14.194800000000001</v>
      </c>
      <c r="S18">
        <f>SUM(S6:S17)</f>
        <v>98.06</v>
      </c>
      <c r="T18">
        <f t="shared" ref="T18:U18" si="2">SUM(T6:T17)</f>
        <v>74146.89</v>
      </c>
      <c r="U18">
        <f t="shared" si="2"/>
        <v>89.826620000000005</v>
      </c>
    </row>
    <row r="19" spans="1:23" x14ac:dyDescent="0.35">
      <c r="A19" s="115">
        <v>9691</v>
      </c>
      <c r="B19" s="92"/>
      <c r="C19" s="116" t="s">
        <v>51</v>
      </c>
      <c r="D19" s="94">
        <v>59.444000000000003</v>
      </c>
      <c r="E19" s="94">
        <v>43589.97</v>
      </c>
      <c r="F19" s="94">
        <v>54.813876</v>
      </c>
      <c r="G19" s="117" t="s">
        <v>37</v>
      </c>
      <c r="H19" s="111"/>
    </row>
    <row r="20" spans="1:23" x14ac:dyDescent="0.35">
      <c r="A20" s="115">
        <v>9692</v>
      </c>
      <c r="B20" s="92"/>
      <c r="C20" s="116" t="s">
        <v>51</v>
      </c>
      <c r="D20" s="94">
        <v>70</v>
      </c>
      <c r="E20" s="94">
        <v>52500</v>
      </c>
      <c r="F20" s="94">
        <v>64.12</v>
      </c>
      <c r="G20" s="117" t="s">
        <v>37</v>
      </c>
      <c r="H20" s="111"/>
    </row>
    <row r="21" spans="1:23" x14ac:dyDescent="0.35">
      <c r="A21" s="115">
        <v>9693</v>
      </c>
      <c r="B21" s="92"/>
      <c r="C21" s="116" t="s">
        <v>51</v>
      </c>
      <c r="D21" s="94">
        <v>4.33</v>
      </c>
      <c r="E21" s="94">
        <v>2675.94</v>
      </c>
      <c r="F21" s="94">
        <v>3.2475000000000001</v>
      </c>
      <c r="G21" s="117" t="s">
        <v>37</v>
      </c>
      <c r="H21" s="111"/>
      <c r="K21" s="113" t="s">
        <v>6</v>
      </c>
      <c r="L21" s="113" t="s">
        <v>56</v>
      </c>
      <c r="M21" s="113" t="s">
        <v>57</v>
      </c>
    </row>
    <row r="22" spans="1:23" x14ac:dyDescent="0.35">
      <c r="A22" s="115">
        <v>9694</v>
      </c>
      <c r="B22" s="92"/>
      <c r="C22" s="116" t="s">
        <v>51</v>
      </c>
      <c r="D22" s="94">
        <v>4.18</v>
      </c>
      <c r="E22" s="94">
        <v>2584</v>
      </c>
      <c r="F22" s="94">
        <f>+D22*0.753</f>
        <v>3.1475399999999998</v>
      </c>
      <c r="G22" s="117" t="s">
        <v>37</v>
      </c>
      <c r="H22" s="111"/>
      <c r="I22" t="s">
        <v>42</v>
      </c>
      <c r="K22">
        <f>+I18+N18+S18</f>
        <v>153.43</v>
      </c>
      <c r="L22">
        <f>+J18+O18+T18</f>
        <v>103005.7</v>
      </c>
      <c r="M22">
        <f>+K18+P18+U18</f>
        <v>124.94982</v>
      </c>
    </row>
    <row r="23" spans="1:23" x14ac:dyDescent="0.35">
      <c r="A23" s="115">
        <v>9695</v>
      </c>
      <c r="B23" s="92"/>
      <c r="C23" s="116" t="s">
        <v>51</v>
      </c>
      <c r="D23" s="94">
        <v>0.92</v>
      </c>
      <c r="E23" s="94">
        <v>445.28</v>
      </c>
      <c r="F23" s="94">
        <v>0.53820000000000001</v>
      </c>
      <c r="G23" s="117" t="s">
        <v>37</v>
      </c>
    </row>
    <row r="24" spans="1:23" x14ac:dyDescent="0.35">
      <c r="A24" s="115">
        <v>9696</v>
      </c>
      <c r="B24" s="92"/>
      <c r="C24" s="116" t="s">
        <v>51</v>
      </c>
      <c r="D24" s="94">
        <v>7.2</v>
      </c>
      <c r="E24" s="94">
        <v>5220</v>
      </c>
      <c r="F24" s="94">
        <v>6.3</v>
      </c>
      <c r="G24" s="117" t="s">
        <v>37</v>
      </c>
    </row>
    <row r="25" spans="1:23" x14ac:dyDescent="0.35">
      <c r="A25" s="91">
        <v>9697</v>
      </c>
      <c r="B25" s="92"/>
      <c r="C25" s="116" t="s">
        <v>51</v>
      </c>
      <c r="D25" s="94">
        <v>23.47</v>
      </c>
      <c r="E25" s="94">
        <v>17273.919999999998</v>
      </c>
      <c r="F25" s="94">
        <v>21.123000000000001</v>
      </c>
      <c r="G25" s="117" t="s">
        <v>37</v>
      </c>
    </row>
    <row r="26" spans="1:23" x14ac:dyDescent="0.35">
      <c r="A26" s="91">
        <v>9698</v>
      </c>
      <c r="B26" s="92"/>
      <c r="C26" s="116" t="s">
        <v>51</v>
      </c>
      <c r="D26" s="94">
        <v>12.93</v>
      </c>
      <c r="E26" s="94">
        <v>8016.6</v>
      </c>
      <c r="F26" s="94">
        <v>9.6974999999999998</v>
      </c>
      <c r="G26" s="117" t="s">
        <v>37</v>
      </c>
    </row>
    <row r="27" spans="1:23" x14ac:dyDescent="0.35">
      <c r="A27" s="91"/>
      <c r="B27" s="92"/>
      <c r="C27" s="116"/>
      <c r="D27" s="94"/>
      <c r="E27" s="94"/>
      <c r="F27" s="94"/>
    </row>
    <row r="28" spans="1:23" x14ac:dyDescent="0.35">
      <c r="A28" s="91"/>
      <c r="B28" s="92"/>
      <c r="C28" s="116"/>
      <c r="D28" s="94"/>
      <c r="E28" s="94"/>
      <c r="F28" s="94"/>
    </row>
    <row r="29" spans="1:23" x14ac:dyDescent="0.35">
      <c r="A29" s="91"/>
      <c r="B29" s="92"/>
      <c r="C29" s="105"/>
      <c r="D29" s="94"/>
      <c r="E29" s="94"/>
      <c r="F29" s="94"/>
    </row>
    <row r="30" spans="1:23" x14ac:dyDescent="0.35">
      <c r="A30" s="91"/>
      <c r="B30" s="92"/>
      <c r="C30" s="94"/>
      <c r="E30" s="94"/>
      <c r="F30" s="94"/>
    </row>
    <row r="31" spans="1:23" x14ac:dyDescent="0.35">
      <c r="A31" s="91"/>
      <c r="B31" s="92"/>
      <c r="C31" s="105"/>
      <c r="D31" s="94"/>
      <c r="E31" s="94"/>
      <c r="F31" s="94"/>
    </row>
    <row r="32" spans="1:23" x14ac:dyDescent="0.35">
      <c r="A32" s="91"/>
      <c r="B32" s="92"/>
      <c r="C32" s="105"/>
      <c r="D32" s="94"/>
      <c r="E32" s="94"/>
      <c r="F32" s="94"/>
    </row>
    <row r="33" spans="1:10" x14ac:dyDescent="0.35">
      <c r="A33" s="91"/>
      <c r="B33" s="92"/>
      <c r="C33" s="105"/>
      <c r="D33" s="94"/>
      <c r="E33" s="94"/>
      <c r="F33" s="94"/>
    </row>
    <row r="34" spans="1:10" x14ac:dyDescent="0.35">
      <c r="A34" s="91"/>
      <c r="B34" s="92"/>
      <c r="C34" s="93" t="s">
        <v>50</v>
      </c>
      <c r="D34" s="94">
        <f>-K22</f>
        <v>-153.43</v>
      </c>
      <c r="E34" s="94">
        <f t="shared" ref="E34:F34" si="3">-L22</f>
        <v>-103005.7</v>
      </c>
      <c r="F34" s="94">
        <f t="shared" si="3"/>
        <v>-124.94982</v>
      </c>
    </row>
    <row r="35" spans="1:10" x14ac:dyDescent="0.35">
      <c r="A35" s="91"/>
      <c r="B35" s="92"/>
      <c r="C35" s="93"/>
      <c r="D35" s="94"/>
      <c r="E35" s="94"/>
      <c r="F35" s="94"/>
    </row>
    <row r="36" spans="1:10" ht="15" thickBot="1" x14ac:dyDescent="0.4">
      <c r="A36" s="10"/>
      <c r="B36" s="11" t="s">
        <v>9</v>
      </c>
      <c r="C36" s="12" t="s">
        <v>33</v>
      </c>
      <c r="D36" s="13" t="s">
        <v>6</v>
      </c>
      <c r="E36" s="14" t="s">
        <v>7</v>
      </c>
      <c r="F36" s="13" t="s">
        <v>58</v>
      </c>
      <c r="G36" s="119" t="s">
        <v>11</v>
      </c>
    </row>
    <row r="37" spans="1:10" x14ac:dyDescent="0.35">
      <c r="A37" s="15" t="s">
        <v>12</v>
      </c>
      <c r="B37" s="16"/>
      <c r="C37" s="17"/>
      <c r="D37" s="18">
        <f>SUM(D7:D35)</f>
        <v>330.37400000000002</v>
      </c>
      <c r="E37" s="18">
        <f>SUM(E7:E35)</f>
        <v>173985.36</v>
      </c>
      <c r="F37" s="18">
        <f>SUM(F7:F35)</f>
        <v>220.61309</v>
      </c>
      <c r="G37" s="19">
        <v>0</v>
      </c>
    </row>
    <row r="38" spans="1:10" x14ac:dyDescent="0.35">
      <c r="A38" s="21" t="s">
        <v>13</v>
      </c>
      <c r="B38" s="22"/>
      <c r="C38" s="23"/>
      <c r="D38" s="22">
        <v>0</v>
      </c>
      <c r="E38" s="24"/>
      <c r="F38" s="25"/>
      <c r="G38" s="25"/>
    </row>
    <row r="39" spans="1:10" x14ac:dyDescent="0.35">
      <c r="A39" s="26" t="s">
        <v>14</v>
      </c>
      <c r="B39" s="27"/>
      <c r="C39" s="28"/>
      <c r="D39" s="27">
        <v>0</v>
      </c>
      <c r="E39" s="29"/>
      <c r="F39" s="109">
        <f>+F37-F40</f>
        <v>220.61309</v>
      </c>
      <c r="G39" s="30"/>
    </row>
    <row r="40" spans="1:10" x14ac:dyDescent="0.35">
      <c r="A40" s="31" t="s">
        <v>15</v>
      </c>
      <c r="B40" s="32"/>
      <c r="C40" s="32"/>
      <c r="D40" s="33"/>
      <c r="E40" s="34"/>
      <c r="F40" s="35"/>
      <c r="G40" s="35"/>
    </row>
    <row r="41" spans="1:10" x14ac:dyDescent="0.35">
      <c r="A41" s="36" t="s">
        <v>16</v>
      </c>
      <c r="B41" s="37">
        <v>0</v>
      </c>
      <c r="C41" s="38"/>
      <c r="D41" s="39"/>
      <c r="E41" s="40"/>
      <c r="F41" s="41"/>
      <c r="G41" s="41"/>
    </row>
    <row r="42" spans="1:10" x14ac:dyDescent="0.35">
      <c r="A42" s="42" t="s">
        <v>17</v>
      </c>
      <c r="B42" s="43">
        <v>200</v>
      </c>
      <c r="C42" s="1"/>
      <c r="D42" s="44"/>
      <c r="E42" s="45"/>
      <c r="F42" s="46"/>
      <c r="G42" s="47"/>
    </row>
    <row r="43" spans="1:10" x14ac:dyDescent="0.35">
      <c r="A43" s="42" t="s">
        <v>18</v>
      </c>
      <c r="B43" s="43">
        <v>500</v>
      </c>
      <c r="C43" s="1"/>
      <c r="D43" s="48"/>
      <c r="E43" s="49"/>
      <c r="F43" s="50"/>
      <c r="G43" s="47"/>
      <c r="I43" s="88"/>
      <c r="J43" s="88"/>
    </row>
    <row r="44" spans="1:10" x14ac:dyDescent="0.35">
      <c r="A44" s="36"/>
      <c r="B44" s="51"/>
      <c r="C44" s="1"/>
      <c r="D44" s="52" t="s">
        <v>19</v>
      </c>
      <c r="E44" s="53"/>
      <c r="F44" s="50"/>
      <c r="G44" s="47"/>
      <c r="I44" s="88"/>
      <c r="J44" s="88"/>
    </row>
    <row r="45" spans="1:10" x14ac:dyDescent="0.35">
      <c r="C45" s="1"/>
      <c r="D45" s="52" t="s">
        <v>21</v>
      </c>
      <c r="E45" s="56">
        <f>+F39</f>
        <v>220.61309</v>
      </c>
      <c r="F45" s="50"/>
      <c r="G45" s="47"/>
      <c r="I45" s="88"/>
      <c r="J45" s="89"/>
    </row>
    <row r="46" spans="1:10" x14ac:dyDescent="0.35">
      <c r="A46" s="54" t="s">
        <v>20</v>
      </c>
      <c r="B46" s="55">
        <v>0</v>
      </c>
      <c r="C46" s="1"/>
      <c r="D46" s="52" t="s">
        <v>34</v>
      </c>
      <c r="E46" s="56">
        <v>122.1</v>
      </c>
      <c r="F46" s="50"/>
      <c r="G46" s="47"/>
      <c r="I46" s="88"/>
      <c r="J46" s="89"/>
    </row>
    <row r="47" spans="1:10" x14ac:dyDescent="0.35">
      <c r="A47" s="57" t="s">
        <v>22</v>
      </c>
      <c r="B47" s="55">
        <v>0</v>
      </c>
      <c r="C47" s="1"/>
      <c r="D47" s="52" t="s">
        <v>36</v>
      </c>
      <c r="E47" s="58">
        <f>7.45*E46</f>
        <v>909.64499999999998</v>
      </c>
      <c r="F47" s="50"/>
      <c r="G47" s="47"/>
      <c r="I47" s="88"/>
      <c r="J47" s="88"/>
    </row>
    <row r="48" spans="1:10" x14ac:dyDescent="0.35">
      <c r="A48" s="36"/>
      <c r="B48" s="51"/>
      <c r="C48" s="1"/>
      <c r="D48" s="86" t="s">
        <v>35</v>
      </c>
      <c r="E48" s="96">
        <f>E47*E45</f>
        <v>200679.59425304999</v>
      </c>
      <c r="F48" s="50"/>
      <c r="G48" s="47"/>
      <c r="I48" s="88"/>
      <c r="J48" s="88"/>
    </row>
    <row r="49" spans="1:10" x14ac:dyDescent="0.35">
      <c r="A49" s="59"/>
      <c r="B49" s="60"/>
      <c r="C49" s="1"/>
      <c r="D49" s="5"/>
      <c r="E49" s="61"/>
      <c r="F49" s="50"/>
      <c r="G49" s="47"/>
      <c r="I49" s="88"/>
      <c r="J49" s="88"/>
    </row>
    <row r="50" spans="1:10" x14ac:dyDescent="0.35">
      <c r="A50" s="62" t="s">
        <v>23</v>
      </c>
      <c r="B50" s="63">
        <v>0</v>
      </c>
      <c r="C50" s="1"/>
      <c r="D50" s="5"/>
      <c r="E50" s="61"/>
      <c r="F50" s="50"/>
      <c r="G50" s="47"/>
      <c r="I50" s="88"/>
      <c r="J50" s="88"/>
    </row>
    <row r="51" spans="1:10" x14ac:dyDescent="0.35">
      <c r="A51" s="64" t="s">
        <v>24</v>
      </c>
      <c r="B51" s="65">
        <v>0</v>
      </c>
      <c r="C51" s="66"/>
      <c r="D51" s="66"/>
      <c r="E51" s="66"/>
      <c r="F51" s="67"/>
      <c r="G51" s="120"/>
    </row>
    <row r="54" spans="1:10" x14ac:dyDescent="0.35">
      <c r="A54" s="68"/>
      <c r="B54" s="1"/>
      <c r="C54" s="1"/>
      <c r="D54" s="1"/>
      <c r="E54" s="1"/>
      <c r="F54" s="1"/>
      <c r="G54" s="118"/>
    </row>
    <row r="55" spans="1:10" ht="20" x14ac:dyDescent="0.4">
      <c r="A55" s="124" t="s">
        <v>25</v>
      </c>
      <c r="B55" s="124"/>
      <c r="C55" s="124"/>
      <c r="D55" s="124"/>
      <c r="E55" s="124"/>
      <c r="F55" s="124"/>
      <c r="G55" s="124"/>
    </row>
    <row r="56" spans="1:10" ht="16" thickBot="1" x14ac:dyDescent="0.4">
      <c r="A56" s="2" t="s">
        <v>1</v>
      </c>
      <c r="B56" s="3"/>
      <c r="C56" s="4" t="s">
        <v>38</v>
      </c>
      <c r="D56" s="5" t="s">
        <v>2</v>
      </c>
      <c r="E56" s="6"/>
      <c r="F56" s="69"/>
      <c r="G56" s="118"/>
    </row>
    <row r="57" spans="1:10" x14ac:dyDescent="0.35">
      <c r="A57" s="7" t="s">
        <v>3</v>
      </c>
      <c r="B57" s="8" t="s">
        <v>4</v>
      </c>
      <c r="C57" s="9" t="s">
        <v>5</v>
      </c>
      <c r="D57" s="8" t="s">
        <v>6</v>
      </c>
      <c r="E57" s="100" t="s">
        <v>7</v>
      </c>
      <c r="F57" s="106" t="s">
        <v>26</v>
      </c>
    </row>
    <row r="58" spans="1:10" x14ac:dyDescent="0.35">
      <c r="A58" s="104"/>
      <c r="B58" s="102"/>
      <c r="C58" s="103"/>
      <c r="D58" s="94"/>
      <c r="E58" s="94"/>
      <c r="F58" s="94"/>
    </row>
    <row r="59" spans="1:10" x14ac:dyDescent="0.35">
      <c r="A59" s="91"/>
      <c r="B59" s="102"/>
      <c r="C59" s="103"/>
      <c r="D59" s="94"/>
      <c r="E59" s="94"/>
      <c r="F59" s="94"/>
    </row>
    <row r="60" spans="1:10" x14ac:dyDescent="0.35">
      <c r="A60" s="104"/>
      <c r="B60" s="102"/>
      <c r="C60" s="103"/>
      <c r="D60" s="94"/>
      <c r="E60" s="94"/>
      <c r="F60" s="94"/>
    </row>
    <row r="61" spans="1:10" x14ac:dyDescent="0.35">
      <c r="A61" s="91"/>
      <c r="B61" s="102"/>
      <c r="C61" s="103"/>
      <c r="D61" s="94"/>
      <c r="E61" s="94"/>
      <c r="F61" s="94"/>
    </row>
    <row r="62" spans="1:10" x14ac:dyDescent="0.35">
      <c r="A62" s="91"/>
      <c r="B62" s="90"/>
      <c r="C62" s="103"/>
      <c r="D62" s="94"/>
      <c r="E62" s="94"/>
      <c r="F62" s="94"/>
    </row>
    <row r="63" spans="1:10" x14ac:dyDescent="0.35">
      <c r="A63" s="91"/>
      <c r="B63" s="90"/>
      <c r="C63" s="103"/>
      <c r="D63" s="94"/>
      <c r="E63" s="94"/>
      <c r="F63" s="94"/>
    </row>
    <row r="64" spans="1:10" x14ac:dyDescent="0.35">
      <c r="A64" s="91"/>
      <c r="B64" s="92"/>
      <c r="C64" s="103"/>
      <c r="D64" s="94"/>
      <c r="E64" s="94"/>
      <c r="F64" s="94"/>
    </row>
    <row r="65" spans="1:7" x14ac:dyDescent="0.35">
      <c r="A65" s="91"/>
      <c r="B65" s="92"/>
      <c r="C65" s="103"/>
      <c r="D65" s="94"/>
      <c r="E65" s="94"/>
      <c r="F65" s="94"/>
    </row>
    <row r="66" spans="1:7" x14ac:dyDescent="0.35">
      <c r="A66" s="91"/>
      <c r="B66" s="92"/>
      <c r="C66" s="103"/>
      <c r="D66" s="94"/>
      <c r="E66" s="94"/>
      <c r="F66" s="94"/>
    </row>
    <row r="67" spans="1:7" x14ac:dyDescent="0.35">
      <c r="A67" s="91"/>
      <c r="B67" s="92"/>
      <c r="C67" s="105"/>
      <c r="D67" s="94"/>
      <c r="E67" s="94"/>
      <c r="F67" s="94"/>
    </row>
    <row r="68" spans="1:7" x14ac:dyDescent="0.35">
      <c r="A68" s="91"/>
      <c r="B68" s="92"/>
      <c r="C68" s="103"/>
      <c r="D68" s="94"/>
      <c r="E68" s="94"/>
      <c r="F68" s="94"/>
    </row>
    <row r="69" spans="1:7" x14ac:dyDescent="0.35">
      <c r="A69" s="91"/>
      <c r="B69" s="92"/>
      <c r="C69" s="103"/>
      <c r="D69" s="94"/>
      <c r="E69" s="94"/>
      <c r="F69" s="94"/>
    </row>
    <row r="70" spans="1:7" x14ac:dyDescent="0.35">
      <c r="A70" s="107"/>
      <c r="B70" s="107"/>
      <c r="C70" s="105"/>
      <c r="D70" s="94"/>
      <c r="E70" s="94"/>
      <c r="F70" s="94"/>
    </row>
    <row r="71" spans="1:7" x14ac:dyDescent="0.35">
      <c r="A71" s="91"/>
      <c r="B71" s="92"/>
      <c r="C71" s="105"/>
      <c r="D71" s="94"/>
      <c r="E71" s="94"/>
      <c r="F71" s="94"/>
    </row>
    <row r="72" spans="1:7" x14ac:dyDescent="0.35">
      <c r="A72" s="91"/>
      <c r="B72" s="92"/>
      <c r="C72" s="105"/>
      <c r="D72" s="94"/>
      <c r="E72" s="94"/>
      <c r="F72" s="94"/>
    </row>
    <row r="73" spans="1:7" x14ac:dyDescent="0.35">
      <c r="A73" s="91"/>
      <c r="B73" s="102"/>
      <c r="C73" s="105"/>
      <c r="D73" s="94"/>
      <c r="E73" s="94"/>
      <c r="F73" s="94"/>
    </row>
    <row r="74" spans="1:7" x14ac:dyDescent="0.35">
      <c r="A74" s="104"/>
      <c r="B74" s="102"/>
      <c r="C74" s="103"/>
      <c r="D74" s="94"/>
      <c r="E74" s="94"/>
      <c r="F74" s="94"/>
    </row>
    <row r="75" spans="1:7" x14ac:dyDescent="0.35">
      <c r="A75" s="104"/>
      <c r="B75" s="102"/>
      <c r="C75" s="105"/>
      <c r="D75" s="94"/>
      <c r="E75" s="94"/>
      <c r="F75" s="94"/>
    </row>
    <row r="76" spans="1:7" x14ac:dyDescent="0.35">
      <c r="A76" s="104"/>
      <c r="B76" s="102"/>
      <c r="C76" s="105"/>
      <c r="D76" s="94"/>
      <c r="E76" s="94"/>
      <c r="F76" s="94"/>
    </row>
    <row r="77" spans="1:7" x14ac:dyDescent="0.35">
      <c r="A77" s="104"/>
      <c r="B77" s="102"/>
      <c r="C77" s="105"/>
      <c r="D77" s="94"/>
      <c r="E77" s="94"/>
      <c r="F77" s="94"/>
    </row>
    <row r="78" spans="1:7" x14ac:dyDescent="0.35">
      <c r="A78" s="91"/>
      <c r="B78" s="102"/>
      <c r="C78" s="105"/>
      <c r="D78" s="94"/>
      <c r="E78" s="94"/>
      <c r="F78" s="94"/>
    </row>
    <row r="79" spans="1:7" x14ac:dyDescent="0.35">
      <c r="A79" s="91"/>
      <c r="B79" s="92"/>
      <c r="C79" s="105"/>
      <c r="D79" s="94"/>
      <c r="E79" s="94"/>
      <c r="F79" s="94"/>
    </row>
    <row r="80" spans="1:7" x14ac:dyDescent="0.35">
      <c r="A80" s="91"/>
      <c r="B80" s="92"/>
      <c r="C80" s="105"/>
      <c r="D80" s="94"/>
      <c r="E80" s="94"/>
      <c r="F80" s="94"/>
      <c r="G80" s="117" t="s">
        <v>37</v>
      </c>
    </row>
    <row r="81" spans="1:7" x14ac:dyDescent="0.35">
      <c r="A81" s="91"/>
      <c r="B81" s="92"/>
      <c r="C81" s="105"/>
      <c r="D81" s="94"/>
      <c r="E81" s="94"/>
      <c r="F81" s="94"/>
    </row>
    <row r="82" spans="1:7" x14ac:dyDescent="0.35">
      <c r="A82" s="87"/>
      <c r="B82" s="92"/>
      <c r="C82" s="105"/>
      <c r="D82" s="87"/>
      <c r="E82" s="87"/>
      <c r="F82" s="87"/>
    </row>
    <row r="83" spans="1:7" x14ac:dyDescent="0.35">
      <c r="A83" s="87"/>
      <c r="B83" s="99"/>
      <c r="C83" s="98"/>
      <c r="D83" s="87"/>
      <c r="E83" s="87"/>
      <c r="F83" s="87"/>
    </row>
    <row r="84" spans="1:7" x14ac:dyDescent="0.35">
      <c r="A84" s="87"/>
      <c r="B84" s="87"/>
      <c r="C84" s="87"/>
      <c r="D84" s="87"/>
      <c r="E84" s="87"/>
      <c r="F84" s="87"/>
    </row>
    <row r="85" spans="1:7" x14ac:dyDescent="0.35">
      <c r="A85" s="91"/>
      <c r="B85" s="92"/>
      <c r="C85" s="97"/>
      <c r="D85" s="94"/>
      <c r="E85" s="94"/>
      <c r="F85" s="94"/>
    </row>
    <row r="86" spans="1:7" x14ac:dyDescent="0.35">
      <c r="A86" s="91"/>
      <c r="B86" s="107"/>
      <c r="C86" s="108"/>
      <c r="D86" s="95"/>
      <c r="E86" s="95"/>
      <c r="F86" s="95"/>
    </row>
    <row r="87" spans="1:7" ht="15" thickBot="1" x14ac:dyDescent="0.4">
      <c r="A87" s="10"/>
      <c r="B87" s="11" t="s">
        <v>9</v>
      </c>
      <c r="C87" s="12" t="s">
        <v>10</v>
      </c>
      <c r="D87" s="13" t="s">
        <v>6</v>
      </c>
      <c r="E87" s="14" t="s">
        <v>7</v>
      </c>
      <c r="F87" s="13" t="s">
        <v>26</v>
      </c>
      <c r="G87" s="119" t="s">
        <v>11</v>
      </c>
    </row>
    <row r="88" spans="1:7" x14ac:dyDescent="0.35">
      <c r="A88" s="15" t="s">
        <v>12</v>
      </c>
      <c r="B88" s="70"/>
      <c r="C88" s="71"/>
      <c r="D88" s="72">
        <f>SUM(D58:D87)</f>
        <v>0</v>
      </c>
      <c r="E88" s="72">
        <f>SUM(E58:E87)</f>
        <v>0</v>
      </c>
      <c r="F88" s="72">
        <f>SUM(F58:F86)</f>
        <v>0</v>
      </c>
      <c r="G88" s="73">
        <v>0</v>
      </c>
    </row>
    <row r="89" spans="1:7" ht="15" thickBot="1" x14ac:dyDescent="0.4">
      <c r="A89" s="74" t="s">
        <v>27</v>
      </c>
      <c r="B89" s="75"/>
      <c r="C89" s="76"/>
      <c r="D89" s="77">
        <v>0</v>
      </c>
      <c r="E89" s="77">
        <v>0</v>
      </c>
      <c r="F89" s="77">
        <v>0</v>
      </c>
      <c r="G89" s="20">
        <v>0</v>
      </c>
    </row>
    <row r="90" spans="1:7" x14ac:dyDescent="0.35">
      <c r="A90" s="21" t="s">
        <v>13</v>
      </c>
      <c r="B90" s="22"/>
      <c r="C90" s="23"/>
      <c r="D90" s="22">
        <v>0</v>
      </c>
      <c r="E90" s="24"/>
      <c r="F90" s="25"/>
      <c r="G90" s="25"/>
    </row>
    <row r="91" spans="1:7" x14ac:dyDescent="0.35">
      <c r="A91" s="26" t="s">
        <v>14</v>
      </c>
      <c r="B91" s="27"/>
      <c r="C91" s="28"/>
      <c r="D91" s="27">
        <v>0</v>
      </c>
      <c r="E91" s="29"/>
      <c r="F91" s="109">
        <f>+F88-F92</f>
        <v>0</v>
      </c>
      <c r="G91" s="30"/>
    </row>
    <row r="92" spans="1:7" x14ac:dyDescent="0.35">
      <c r="A92" s="31" t="s">
        <v>15</v>
      </c>
      <c r="B92" s="32"/>
      <c r="C92" s="32"/>
      <c r="D92" s="33"/>
      <c r="E92" s="78"/>
      <c r="F92" s="35"/>
      <c r="G92" s="35"/>
    </row>
    <row r="93" spans="1:7" x14ac:dyDescent="0.35">
      <c r="A93" s="42" t="s">
        <v>28</v>
      </c>
      <c r="B93" s="58">
        <v>0</v>
      </c>
      <c r="C93" s="1"/>
      <c r="D93" s="1"/>
      <c r="E93" s="1"/>
      <c r="F93" s="50"/>
      <c r="G93" s="47"/>
    </row>
    <row r="94" spans="1:7" x14ac:dyDescent="0.35">
      <c r="A94" s="42" t="s">
        <v>29</v>
      </c>
      <c r="B94" s="43">
        <v>0</v>
      </c>
      <c r="C94" s="1"/>
      <c r="D94" s="5"/>
      <c r="E94" s="79"/>
      <c r="F94" s="46"/>
      <c r="G94" s="47"/>
    </row>
    <row r="95" spans="1:7" x14ac:dyDescent="0.35">
      <c r="A95" s="42" t="s">
        <v>17</v>
      </c>
      <c r="B95" s="43">
        <v>0</v>
      </c>
      <c r="C95" s="1"/>
      <c r="D95" s="44"/>
      <c r="E95" s="45"/>
      <c r="F95" s="46"/>
      <c r="G95" s="47"/>
    </row>
    <row r="96" spans="1:7" x14ac:dyDescent="0.35">
      <c r="A96" s="42"/>
      <c r="B96" s="43"/>
      <c r="C96" s="1"/>
      <c r="D96" s="52" t="s">
        <v>19</v>
      </c>
      <c r="E96" s="53"/>
      <c r="F96" s="50"/>
      <c r="G96" s="47"/>
    </row>
    <row r="97" spans="1:7" x14ac:dyDescent="0.35">
      <c r="A97" s="36"/>
      <c r="B97" s="51"/>
      <c r="C97" s="1"/>
      <c r="D97" s="52" t="s">
        <v>21</v>
      </c>
      <c r="E97" s="56">
        <f>+F91</f>
        <v>0</v>
      </c>
      <c r="F97" s="50"/>
      <c r="G97" s="47"/>
    </row>
    <row r="98" spans="1:7" x14ac:dyDescent="0.35">
      <c r="A98" s="80" t="s">
        <v>30</v>
      </c>
      <c r="B98" s="55">
        <v>0</v>
      </c>
      <c r="C98" s="1"/>
      <c r="D98" s="52" t="s">
        <v>34</v>
      </c>
      <c r="E98" s="56"/>
      <c r="F98" s="50"/>
      <c r="G98" s="47"/>
    </row>
    <row r="99" spans="1:7" x14ac:dyDescent="0.35">
      <c r="A99" s="57" t="s">
        <v>31</v>
      </c>
      <c r="B99" s="55">
        <v>0</v>
      </c>
      <c r="C99" s="1"/>
      <c r="D99" s="52" t="s">
        <v>36</v>
      </c>
      <c r="E99" s="58">
        <f>7.45*E98</f>
        <v>0</v>
      </c>
      <c r="F99" s="50"/>
      <c r="G99" s="47"/>
    </row>
    <row r="100" spans="1:7" x14ac:dyDescent="0.35">
      <c r="A100" s="42"/>
      <c r="B100" s="82"/>
      <c r="C100" s="1"/>
      <c r="D100" s="86" t="s">
        <v>35</v>
      </c>
      <c r="E100" s="96">
        <f>E99*E97</f>
        <v>0</v>
      </c>
      <c r="F100" s="50"/>
      <c r="G100" s="47"/>
    </row>
    <row r="101" spans="1:7" x14ac:dyDescent="0.35">
      <c r="A101" s="83" t="s">
        <v>23</v>
      </c>
      <c r="B101" s="58">
        <v>0</v>
      </c>
      <c r="C101" s="1"/>
      <c r="D101" s="5"/>
      <c r="E101" s="81"/>
      <c r="F101" s="50"/>
      <c r="G101" s="47"/>
    </row>
    <row r="102" spans="1:7" x14ac:dyDescent="0.35">
      <c r="A102" s="84" t="s">
        <v>32</v>
      </c>
      <c r="B102" s="85">
        <v>0</v>
      </c>
      <c r="C102" s="66"/>
      <c r="D102" s="66"/>
      <c r="E102" s="66"/>
      <c r="F102" s="67"/>
      <c r="G102" s="120"/>
    </row>
  </sheetData>
  <mergeCells count="2">
    <mergeCell ref="A4:F4"/>
    <mergeCell ref="A55:G55"/>
  </mergeCells>
  <phoneticPr fontId="13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D</dc:creator>
  <cp:lastModifiedBy>Recai Demir</cp:lastModifiedBy>
  <dcterms:created xsi:type="dcterms:W3CDTF">2014-02-13T14:32:18Z</dcterms:created>
  <dcterms:modified xsi:type="dcterms:W3CDTF">2026-01-19T19:51:41Z</dcterms:modified>
</cp:coreProperties>
</file>
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ogulddk-my.sharepoint.com/personal/info_seroguld_dk/Documents/Sero Guld kopi/sero/CRM System -Efe/"/>
    </mc:Choice>
  </mc:AlternateContent>
  <xr:revisionPtr revIDLastSave="32" documentId="8_{214C82D4-EE09-431F-9494-F6D094746036}" xr6:coauthVersionLast="47" xr6:coauthVersionMax="47" xr10:uidLastSave="{A7C243D3-6F8F-4DBC-B8DA-6F3873B6C0B5}"/>
  <bookViews>
    <workbookView xWindow="-110" yWindow="-110" windowWidth="19420" windowHeight="10300" xr2:uid="{00000000-000D-0000-FFFF-FFFF00000000}"/>
  </bookViews>
  <sheets>
    <sheet name="Lag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269" i="1" l="1"/>
  <c r="N268" i="1"/>
  <c r="N267" i="1"/>
  <c r="N266" i="1"/>
  <c r="N265" i="1"/>
  <c r="N264" i="1"/>
  <c r="N263" i="1"/>
  <c r="N262" i="1"/>
  <c r="N261" i="1"/>
  <c r="E132" i="1"/>
  <c r="E133" i="1"/>
  <c r="N276" i="1" l="1"/>
  <c r="T217" i="1"/>
  <c r="U217" i="1" s="1"/>
  <c r="V217" i="1" s="1"/>
  <c r="Q215" i="1"/>
  <c r="E135" i="1" l="1"/>
  <c r="T211" i="1" l="1"/>
  <c r="U211" i="1"/>
  <c r="V211" i="1" s="1"/>
  <c r="T212" i="1"/>
  <c r="U212" i="1"/>
  <c r="V212" i="1"/>
  <c r="T213" i="1"/>
  <c r="U213" i="1"/>
  <c r="V213" i="1" s="1"/>
  <c r="T214" i="1"/>
  <c r="U214" i="1" s="1"/>
  <c r="V214" i="1" s="1"/>
  <c r="T215" i="1"/>
  <c r="U215" i="1" s="1"/>
  <c r="V215" i="1" s="1"/>
  <c r="T216" i="1"/>
  <c r="U216" i="1"/>
  <c r="V216" i="1"/>
  <c r="T249" i="1"/>
  <c r="U249" i="1" s="1"/>
  <c r="V249" i="1" s="1"/>
  <c r="T250" i="1"/>
  <c r="U250" i="1" s="1"/>
  <c r="V250" i="1" s="1"/>
  <c r="T251" i="1"/>
  <c r="U251" i="1" s="1"/>
  <c r="V251" i="1" s="1"/>
  <c r="T173" i="1"/>
  <c r="U173" i="1" s="1"/>
  <c r="V173" i="1" s="1"/>
  <c r="T172" i="1"/>
  <c r="U172" i="1" s="1"/>
  <c r="V172" i="1" s="1"/>
  <c r="H171" i="1" l="1"/>
  <c r="T171" i="1" s="1"/>
  <c r="U171" i="1" s="1"/>
  <c r="V171" i="1" s="1"/>
  <c r="F286" i="1" l="1"/>
  <c r="G286" i="1" s="1"/>
  <c r="F295" i="1"/>
  <c r="G295" i="1" s="1"/>
  <c r="F293" i="1"/>
  <c r="G293" i="1" s="1"/>
  <c r="F362" i="1"/>
  <c r="G362" i="1" s="1"/>
  <c r="D294" i="1"/>
  <c r="F294" i="1" s="1"/>
  <c r="G294" i="1" s="1"/>
  <c r="F361" i="1" l="1"/>
  <c r="G361" i="1" s="1"/>
  <c r="F360" i="1"/>
  <c r="G360" i="1" s="1"/>
  <c r="F359" i="1"/>
  <c r="G359" i="1" s="1"/>
  <c r="F292" i="1"/>
  <c r="G292" i="1" s="1"/>
  <c r="F319" i="1"/>
  <c r="G319" i="1" s="1"/>
  <c r="F342" i="1"/>
  <c r="G342" i="1" s="1"/>
  <c r="F341" i="1"/>
  <c r="G341" i="1" s="1"/>
  <c r="F329" i="1"/>
  <c r="G329" i="1" s="1"/>
  <c r="D321" i="1"/>
  <c r="H378" i="1"/>
  <c r="E84" i="1"/>
  <c r="H84" i="1"/>
  <c r="E166" i="1"/>
  <c r="H166" i="1"/>
  <c r="F159" i="1" l="1"/>
  <c r="N352" i="1" l="1"/>
  <c r="G351" i="1"/>
  <c r="G350" i="1"/>
  <c r="F348" i="1" l="1"/>
  <c r="G348" i="1" s="1"/>
  <c r="F349" i="1"/>
  <c r="G349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D128" i="1" l="1"/>
  <c r="F81" i="1"/>
  <c r="G81" i="1" s="1"/>
  <c r="F80" i="1"/>
  <c r="G80" i="1" s="1"/>
  <c r="D71" i="1"/>
  <c r="D84" i="1" s="1"/>
  <c r="F79" i="1"/>
  <c r="G79" i="1" s="1"/>
  <c r="F78" i="1"/>
  <c r="G78" i="1" s="1"/>
  <c r="D139" i="1"/>
  <c r="F138" i="1"/>
  <c r="G138" i="1" s="1"/>
  <c r="H244" i="1"/>
  <c r="T244" i="1" s="1"/>
  <c r="U244" i="1" s="1"/>
  <c r="V244" i="1" s="1"/>
  <c r="H243" i="1"/>
  <c r="T243" i="1" s="1"/>
  <c r="U243" i="1" s="1"/>
  <c r="V243" i="1" s="1"/>
  <c r="H242" i="1"/>
  <c r="T242" i="1" s="1"/>
  <c r="U242" i="1" s="1"/>
  <c r="V242" i="1" s="1"/>
  <c r="H241" i="1"/>
  <c r="T241" i="1" s="1"/>
  <c r="U241" i="1" s="1"/>
  <c r="V241" i="1" s="1"/>
  <c r="G241" i="1"/>
  <c r="H240" i="1"/>
  <c r="T240" i="1" s="1"/>
  <c r="U240" i="1" s="1"/>
  <c r="V240" i="1" s="1"/>
  <c r="G240" i="1"/>
  <c r="H239" i="1"/>
  <c r="T239" i="1" s="1"/>
  <c r="U239" i="1" s="1"/>
  <c r="V239" i="1" s="1"/>
  <c r="G239" i="1"/>
  <c r="H238" i="1"/>
  <c r="T238" i="1" s="1"/>
  <c r="U238" i="1" s="1"/>
  <c r="V238" i="1" s="1"/>
  <c r="G238" i="1"/>
  <c r="F303" i="1" l="1"/>
  <c r="G303" i="1" s="1"/>
  <c r="F302" i="1"/>
  <c r="G302" i="1" s="1"/>
  <c r="F301" i="1"/>
  <c r="G301" i="1" s="1"/>
  <c r="H237" i="1" l="1"/>
  <c r="T237" i="1" s="1"/>
  <c r="U237" i="1" s="1"/>
  <c r="V237" i="1" s="1"/>
  <c r="G237" i="1"/>
  <c r="H236" i="1"/>
  <c r="T236" i="1" s="1"/>
  <c r="U236" i="1" s="1"/>
  <c r="V236" i="1" s="1"/>
  <c r="G236" i="1"/>
  <c r="H235" i="1"/>
  <c r="T235" i="1" s="1"/>
  <c r="U235" i="1" s="1"/>
  <c r="V235" i="1" s="1"/>
  <c r="G235" i="1"/>
  <c r="H234" i="1"/>
  <c r="T234" i="1" s="1"/>
  <c r="U234" i="1" s="1"/>
  <c r="V234" i="1" s="1"/>
  <c r="G234" i="1"/>
  <c r="H233" i="1"/>
  <c r="T233" i="1" s="1"/>
  <c r="U233" i="1" s="1"/>
  <c r="V233" i="1" s="1"/>
  <c r="G233" i="1"/>
  <c r="H232" i="1"/>
  <c r="T232" i="1" s="1"/>
  <c r="U232" i="1" s="1"/>
  <c r="V232" i="1" s="1"/>
  <c r="G232" i="1"/>
  <c r="H231" i="1"/>
  <c r="T231" i="1" s="1"/>
  <c r="U231" i="1" s="1"/>
  <c r="V231" i="1" s="1"/>
  <c r="G231" i="1"/>
  <c r="H230" i="1"/>
  <c r="T230" i="1" s="1"/>
  <c r="U230" i="1" s="1"/>
  <c r="V230" i="1" s="1"/>
  <c r="G230" i="1"/>
  <c r="H229" i="1"/>
  <c r="T229" i="1" s="1"/>
  <c r="U229" i="1" s="1"/>
  <c r="V229" i="1" s="1"/>
  <c r="G229" i="1"/>
  <c r="H228" i="1"/>
  <c r="T228" i="1" s="1"/>
  <c r="U228" i="1" s="1"/>
  <c r="V228" i="1" s="1"/>
  <c r="G228" i="1"/>
  <c r="H227" i="1"/>
  <c r="T227" i="1" s="1"/>
  <c r="U227" i="1" s="1"/>
  <c r="V227" i="1" s="1"/>
  <c r="G227" i="1"/>
  <c r="H226" i="1"/>
  <c r="T226" i="1" s="1"/>
  <c r="U226" i="1" s="1"/>
  <c r="V226" i="1" s="1"/>
  <c r="G226" i="1"/>
  <c r="H225" i="1"/>
  <c r="T225" i="1" s="1"/>
  <c r="U225" i="1" s="1"/>
  <c r="V225" i="1" s="1"/>
  <c r="G225" i="1"/>
  <c r="F224" i="1"/>
  <c r="G224" i="1" s="1"/>
  <c r="H221" i="1"/>
  <c r="T221" i="1" s="1"/>
  <c r="U221" i="1" s="1"/>
  <c r="V221" i="1" s="1"/>
  <c r="G221" i="1"/>
  <c r="H224" i="1" l="1"/>
  <c r="T224" i="1" s="1"/>
  <c r="U224" i="1" s="1"/>
  <c r="V224" i="1" s="1"/>
  <c r="G223" i="1"/>
  <c r="H223" i="1"/>
  <c r="T223" i="1" s="1"/>
  <c r="U223" i="1" s="1"/>
  <c r="V223" i="1" s="1"/>
  <c r="H222" i="1"/>
  <c r="T222" i="1" s="1"/>
  <c r="U222" i="1" s="1"/>
  <c r="V222" i="1" s="1"/>
  <c r="G222" i="1"/>
  <c r="F223" i="1"/>
  <c r="H220" i="1"/>
  <c r="T220" i="1" s="1"/>
  <c r="U220" i="1" s="1"/>
  <c r="V220" i="1" s="1"/>
  <c r="G220" i="1"/>
  <c r="K4" i="1" l="1"/>
  <c r="K5" i="1"/>
  <c r="H219" i="1"/>
  <c r="T219" i="1" s="1"/>
  <c r="U219" i="1" s="1"/>
  <c r="V219" i="1" s="1"/>
  <c r="G219" i="1"/>
  <c r="F241" i="1"/>
  <c r="F237" i="1"/>
  <c r="F238" i="1"/>
  <c r="F239" i="1"/>
  <c r="F240" i="1"/>
  <c r="I159" i="1" l="1"/>
  <c r="I171" i="1"/>
  <c r="I295" i="1"/>
  <c r="I286" i="1"/>
  <c r="I362" i="1"/>
  <c r="I293" i="1"/>
  <c r="I361" i="1"/>
  <c r="I294" i="1"/>
  <c r="I359" i="1"/>
  <c r="I360" i="1"/>
  <c r="I319" i="1"/>
  <c r="I292" i="1"/>
  <c r="I341" i="1"/>
  <c r="I342" i="1"/>
  <c r="I329" i="1"/>
  <c r="I351" i="1"/>
  <c r="I356" i="1"/>
  <c r="I350" i="1"/>
  <c r="I358" i="1"/>
  <c r="I348" i="1"/>
  <c r="I357" i="1"/>
  <c r="I349" i="1"/>
  <c r="I355" i="1"/>
  <c r="I352" i="1"/>
  <c r="I354" i="1"/>
  <c r="I353" i="1"/>
  <c r="I79" i="1"/>
  <c r="I80" i="1"/>
  <c r="I81" i="1"/>
  <c r="I78" i="1"/>
  <c r="I301" i="1"/>
  <c r="I302" i="1"/>
  <c r="I303" i="1"/>
  <c r="I172" i="1"/>
  <c r="I173" i="1"/>
  <c r="I223" i="1"/>
  <c r="I219" i="1"/>
  <c r="I239" i="1"/>
  <c r="I238" i="1"/>
  <c r="I237" i="1"/>
  <c r="I241" i="1"/>
  <c r="I240" i="1"/>
  <c r="R215" i="1"/>
  <c r="R216" i="1" s="1"/>
  <c r="Q216" i="1"/>
  <c r="H218" i="1" l="1"/>
  <c r="T218" i="1" s="1"/>
  <c r="U218" i="1" s="1"/>
  <c r="V218" i="1" s="1"/>
  <c r="G218" i="1"/>
  <c r="Q211" i="1"/>
  <c r="R211" i="1"/>
  <c r="R212" i="1"/>
  <c r="I211" i="1"/>
  <c r="M211" i="1" s="1"/>
  <c r="Q212" i="1" l="1"/>
  <c r="R213" i="1" s="1"/>
  <c r="G209" i="1" l="1"/>
  <c r="I209" i="1" s="1"/>
  <c r="M209" i="1" s="1"/>
  <c r="H209" i="1"/>
  <c r="T209" i="1" s="1"/>
  <c r="U209" i="1" s="1"/>
  <c r="V209" i="1" s="1"/>
  <c r="G210" i="1"/>
  <c r="H210" i="1"/>
  <c r="T210" i="1" s="1"/>
  <c r="U210" i="1" s="1"/>
  <c r="V210" i="1" s="1"/>
  <c r="H208" i="1"/>
  <c r="T208" i="1" s="1"/>
  <c r="U208" i="1" s="1"/>
  <c r="V208" i="1" s="1"/>
  <c r="G208" i="1"/>
  <c r="H197" i="1"/>
  <c r="T197" i="1" s="1"/>
  <c r="U197" i="1" s="1"/>
  <c r="V197" i="1" s="1"/>
  <c r="G197" i="1"/>
  <c r="H196" i="1"/>
  <c r="T196" i="1" s="1"/>
  <c r="U196" i="1" s="1"/>
  <c r="V196" i="1" s="1"/>
  <c r="G196" i="1"/>
  <c r="H195" i="1"/>
  <c r="T195" i="1" s="1"/>
  <c r="U195" i="1" s="1"/>
  <c r="V195" i="1" s="1"/>
  <c r="G195" i="1"/>
  <c r="H198" i="1"/>
  <c r="T198" i="1" s="1"/>
  <c r="U198" i="1" s="1"/>
  <c r="V198" i="1" s="1"/>
  <c r="H199" i="1"/>
  <c r="T199" i="1" s="1"/>
  <c r="U199" i="1" s="1"/>
  <c r="V199" i="1" s="1"/>
  <c r="H200" i="1"/>
  <c r="T200" i="1" s="1"/>
  <c r="U200" i="1" s="1"/>
  <c r="V200" i="1" s="1"/>
  <c r="H201" i="1"/>
  <c r="T201" i="1" s="1"/>
  <c r="U201" i="1" s="1"/>
  <c r="V201" i="1" s="1"/>
  <c r="H202" i="1"/>
  <c r="T202" i="1" s="1"/>
  <c r="U202" i="1" s="1"/>
  <c r="V202" i="1" s="1"/>
  <c r="H203" i="1"/>
  <c r="T203" i="1" s="1"/>
  <c r="U203" i="1" s="1"/>
  <c r="V203" i="1" s="1"/>
  <c r="H204" i="1"/>
  <c r="T204" i="1" s="1"/>
  <c r="U204" i="1" s="1"/>
  <c r="V204" i="1" s="1"/>
  <c r="H205" i="1"/>
  <c r="T205" i="1" s="1"/>
  <c r="U205" i="1" s="1"/>
  <c r="V205" i="1" s="1"/>
  <c r="H206" i="1"/>
  <c r="T206" i="1" s="1"/>
  <c r="U206" i="1" s="1"/>
  <c r="V206" i="1" s="1"/>
  <c r="H207" i="1"/>
  <c r="T207" i="1" s="1"/>
  <c r="U207" i="1" s="1"/>
  <c r="V207" i="1" s="1"/>
  <c r="H245" i="1"/>
  <c r="T245" i="1" s="1"/>
  <c r="U245" i="1" s="1"/>
  <c r="V245" i="1" s="1"/>
  <c r="H246" i="1"/>
  <c r="T246" i="1" s="1"/>
  <c r="U246" i="1" s="1"/>
  <c r="V246" i="1" s="1"/>
  <c r="H247" i="1"/>
  <c r="T247" i="1" s="1"/>
  <c r="U247" i="1" s="1"/>
  <c r="V247" i="1" s="1"/>
  <c r="H248" i="1"/>
  <c r="T248" i="1" s="1"/>
  <c r="U248" i="1" s="1"/>
  <c r="V248" i="1" s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R177" i="1"/>
  <c r="M171" i="1"/>
  <c r="H194" i="1" l="1"/>
  <c r="T194" i="1" s="1"/>
  <c r="U194" i="1" s="1"/>
  <c r="V194" i="1" s="1"/>
  <c r="G194" i="1"/>
  <c r="H193" i="1"/>
  <c r="T193" i="1" s="1"/>
  <c r="U193" i="1" s="1"/>
  <c r="V193" i="1" s="1"/>
  <c r="G193" i="1"/>
  <c r="H192" i="1"/>
  <c r="T192" i="1" s="1"/>
  <c r="U192" i="1" s="1"/>
  <c r="V192" i="1" s="1"/>
  <c r="G192" i="1"/>
  <c r="H191" i="1"/>
  <c r="T191" i="1" s="1"/>
  <c r="U191" i="1" s="1"/>
  <c r="V191" i="1" s="1"/>
  <c r="H190" i="1"/>
  <c r="T190" i="1" s="1"/>
  <c r="U190" i="1" s="1"/>
  <c r="V190" i="1" s="1"/>
  <c r="H189" i="1"/>
  <c r="T189" i="1" s="1"/>
  <c r="U189" i="1" s="1"/>
  <c r="V189" i="1" s="1"/>
  <c r="H188" i="1"/>
  <c r="T188" i="1" s="1"/>
  <c r="U188" i="1" s="1"/>
  <c r="V188" i="1" s="1"/>
  <c r="H187" i="1"/>
  <c r="T187" i="1" s="1"/>
  <c r="U187" i="1" s="1"/>
  <c r="V187" i="1" s="1"/>
  <c r="G191" i="1"/>
  <c r="G190" i="1"/>
  <c r="G189" i="1"/>
  <c r="I189" i="1" s="1"/>
  <c r="M189" i="1" s="1"/>
  <c r="G188" i="1"/>
  <c r="I188" i="1" s="1"/>
  <c r="M188" i="1" s="1"/>
  <c r="G187" i="1"/>
  <c r="I187" i="1" s="1"/>
  <c r="M187" i="1" s="1"/>
  <c r="H186" i="1"/>
  <c r="T186" i="1" s="1"/>
  <c r="U186" i="1" s="1"/>
  <c r="V186" i="1" s="1"/>
  <c r="G186" i="1"/>
  <c r="I186" i="1" s="1"/>
  <c r="M186" i="1" s="1"/>
  <c r="G185" i="1"/>
  <c r="I185" i="1" s="1"/>
  <c r="H185" i="1"/>
  <c r="T185" i="1" s="1"/>
  <c r="U185" i="1" s="1"/>
  <c r="V185" i="1" s="1"/>
  <c r="W181" i="1" l="1"/>
  <c r="F171" i="1" l="1"/>
  <c r="F172" i="1"/>
  <c r="F173" i="1"/>
  <c r="F174" i="1"/>
  <c r="G174" i="1"/>
  <c r="I174" i="1" s="1"/>
  <c r="H174" i="1"/>
  <c r="T174" i="1" s="1"/>
  <c r="U174" i="1" s="1"/>
  <c r="V174" i="1" s="1"/>
  <c r="F175" i="1"/>
  <c r="G175" i="1"/>
  <c r="I175" i="1" s="1"/>
  <c r="H175" i="1"/>
  <c r="T175" i="1" s="1"/>
  <c r="U175" i="1" s="1"/>
  <c r="V175" i="1" s="1"/>
  <c r="F176" i="1"/>
  <c r="G176" i="1"/>
  <c r="I176" i="1" s="1"/>
  <c r="H176" i="1"/>
  <c r="T176" i="1" s="1"/>
  <c r="U176" i="1" s="1"/>
  <c r="V176" i="1" s="1"/>
  <c r="F177" i="1"/>
  <c r="G177" i="1"/>
  <c r="I177" i="1" s="1"/>
  <c r="H177" i="1"/>
  <c r="T177" i="1" s="1"/>
  <c r="U177" i="1" s="1"/>
  <c r="V177" i="1" s="1"/>
  <c r="F178" i="1"/>
  <c r="G178" i="1"/>
  <c r="I178" i="1" s="1"/>
  <c r="H178" i="1"/>
  <c r="T178" i="1" s="1"/>
  <c r="U178" i="1" s="1"/>
  <c r="V178" i="1" s="1"/>
  <c r="F179" i="1"/>
  <c r="G179" i="1"/>
  <c r="I179" i="1" s="1"/>
  <c r="H179" i="1"/>
  <c r="T179" i="1" s="1"/>
  <c r="U179" i="1" s="1"/>
  <c r="V179" i="1" s="1"/>
  <c r="F180" i="1"/>
  <c r="G180" i="1"/>
  <c r="I180" i="1" s="1"/>
  <c r="H180" i="1"/>
  <c r="T180" i="1" s="1"/>
  <c r="U180" i="1" s="1"/>
  <c r="V180" i="1" s="1"/>
  <c r="F181" i="1"/>
  <c r="G181" i="1"/>
  <c r="I181" i="1" s="1"/>
  <c r="H181" i="1"/>
  <c r="T181" i="1" s="1"/>
  <c r="U181" i="1" s="1"/>
  <c r="V181" i="1" s="1"/>
  <c r="F182" i="1"/>
  <c r="G182" i="1"/>
  <c r="I182" i="1" s="1"/>
  <c r="H182" i="1"/>
  <c r="T182" i="1" s="1"/>
  <c r="U182" i="1" s="1"/>
  <c r="V182" i="1" s="1"/>
  <c r="F183" i="1"/>
  <c r="G183" i="1"/>
  <c r="I183" i="1" s="1"/>
  <c r="H183" i="1"/>
  <c r="T183" i="1" s="1"/>
  <c r="U183" i="1" s="1"/>
  <c r="V183" i="1" s="1"/>
  <c r="F184" i="1"/>
  <c r="G184" i="1"/>
  <c r="I184" i="1" s="1"/>
  <c r="H184" i="1"/>
  <c r="T184" i="1" s="1"/>
  <c r="U184" i="1" s="1"/>
  <c r="V184" i="1" s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75" i="1" l="1"/>
  <c r="G75" i="1" s="1"/>
  <c r="F76" i="1"/>
  <c r="G76" i="1" s="1"/>
  <c r="F77" i="1"/>
  <c r="G77" i="1" s="1"/>
  <c r="F83" i="1"/>
  <c r="G83" i="1" s="1"/>
  <c r="F73" i="1"/>
  <c r="G73" i="1" s="1"/>
  <c r="F74" i="1"/>
  <c r="G74" i="1" s="1"/>
  <c r="F86" i="1"/>
  <c r="G86" i="1" s="1"/>
  <c r="F291" i="1"/>
  <c r="F343" i="1"/>
  <c r="G343" i="1" s="1"/>
  <c r="F344" i="1"/>
  <c r="G344" i="1" s="1"/>
  <c r="F345" i="1"/>
  <c r="G345" i="1" s="1"/>
  <c r="F346" i="1"/>
  <c r="G346" i="1" s="1"/>
  <c r="F347" i="1"/>
  <c r="G347" i="1" s="1"/>
  <c r="F363" i="1"/>
  <c r="G363" i="1" s="1"/>
  <c r="F364" i="1"/>
  <c r="G364" i="1" s="1"/>
  <c r="F340" i="1"/>
  <c r="F339" i="1"/>
  <c r="G339" i="1" s="1"/>
  <c r="D318" i="1"/>
  <c r="F318" i="1" s="1"/>
  <c r="G318" i="1" s="1"/>
  <c r="F129" i="1"/>
  <c r="G129" i="1" s="1"/>
  <c r="F130" i="1"/>
  <c r="G130" i="1" s="1"/>
  <c r="F128" i="1"/>
  <c r="G128" i="1" s="1"/>
  <c r="F125" i="1"/>
  <c r="G125" i="1" s="1"/>
  <c r="F126" i="1"/>
  <c r="G126" i="1" s="1"/>
  <c r="F127" i="1"/>
  <c r="G127" i="1" s="1"/>
  <c r="F124" i="1"/>
  <c r="G124" i="1" s="1"/>
  <c r="F117" i="1"/>
  <c r="F70" i="1"/>
  <c r="G70" i="1" s="1"/>
  <c r="G22" i="1"/>
  <c r="G23" i="1"/>
  <c r="F317" i="1"/>
  <c r="G317" i="1" s="1"/>
  <c r="G340" i="1" l="1"/>
  <c r="G291" i="1"/>
  <c r="U5" i="1" l="1"/>
  <c r="K256" i="1"/>
  <c r="F325" i="1" l="1"/>
  <c r="G325" i="1" s="1"/>
  <c r="F326" i="1"/>
  <c r="G326" i="1" s="1"/>
  <c r="F327" i="1"/>
  <c r="G327" i="1" s="1"/>
  <c r="F328" i="1"/>
  <c r="G328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F158" i="1"/>
  <c r="F160" i="1"/>
  <c r="F161" i="1"/>
  <c r="G161" i="1" s="1"/>
  <c r="F162" i="1"/>
  <c r="G162" i="1" s="1"/>
  <c r="F163" i="1"/>
  <c r="G163" i="1" s="1"/>
  <c r="F164" i="1"/>
  <c r="G164" i="1" s="1"/>
  <c r="F165" i="1"/>
  <c r="G165" i="1" s="1"/>
  <c r="F65" i="1" l="1"/>
  <c r="G65" i="1" s="1"/>
  <c r="F66" i="1"/>
  <c r="G66" i="1" s="1"/>
  <c r="F67" i="1"/>
  <c r="G67" i="1" s="1"/>
  <c r="F68" i="1"/>
  <c r="G68" i="1" s="1"/>
  <c r="F69" i="1"/>
  <c r="G69" i="1" s="1"/>
  <c r="F71" i="1"/>
  <c r="G71" i="1" s="1"/>
  <c r="F72" i="1"/>
  <c r="G72" i="1" s="1"/>
  <c r="F63" i="1" l="1"/>
  <c r="G63" i="1" s="1"/>
  <c r="H252" i="1" l="1"/>
  <c r="F94" i="1"/>
  <c r="G94" i="1" s="1"/>
  <c r="F88" i="1"/>
  <c r="G88" i="1" s="1"/>
  <c r="F107" i="1"/>
  <c r="G107" i="1" s="1"/>
  <c r="F315" i="1"/>
  <c r="G315" i="1" s="1"/>
  <c r="F316" i="1"/>
  <c r="G316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67" i="1"/>
  <c r="G267" i="1" s="1"/>
  <c r="F268" i="1"/>
  <c r="G268" i="1" s="1"/>
  <c r="F269" i="1"/>
  <c r="F270" i="1"/>
  <c r="G270" i="1" s="1"/>
  <c r="F271" i="1"/>
  <c r="G271" i="1" s="1"/>
  <c r="G269" i="1" l="1"/>
  <c r="F146" i="1" l="1"/>
  <c r="G146" i="1" s="1"/>
  <c r="F147" i="1"/>
  <c r="G147" i="1" s="1"/>
  <c r="F323" i="1" l="1"/>
  <c r="G323" i="1" s="1"/>
  <c r="F324" i="1"/>
  <c r="G324" i="1" s="1"/>
  <c r="F290" i="1" l="1"/>
  <c r="G290" i="1" s="1"/>
  <c r="F289" i="1"/>
  <c r="G289" i="1" s="1"/>
  <c r="F100" i="1" l="1"/>
  <c r="G100" i="1" s="1"/>
  <c r="F372" i="1"/>
  <c r="G372" i="1" s="1"/>
  <c r="F376" i="1"/>
  <c r="G376" i="1" s="1"/>
  <c r="G378" i="1" s="1"/>
  <c r="K7" i="1"/>
  <c r="K6" i="1"/>
  <c r="F312" i="1"/>
  <c r="G312" i="1" s="1"/>
  <c r="F313" i="1"/>
  <c r="G313" i="1" s="1"/>
  <c r="F314" i="1"/>
  <c r="G314" i="1" s="1"/>
  <c r="F310" i="1"/>
  <c r="G310" i="1" s="1"/>
  <c r="F305" i="1"/>
  <c r="G305" i="1" s="1"/>
  <c r="F304" i="1"/>
  <c r="G304" i="1" s="1"/>
  <c r="F306" i="1"/>
  <c r="G306" i="1" s="1"/>
  <c r="F307" i="1"/>
  <c r="G307" i="1" s="1"/>
  <c r="F308" i="1"/>
  <c r="G308" i="1" s="1"/>
  <c r="F309" i="1"/>
  <c r="G309" i="1" s="1"/>
  <c r="F311" i="1"/>
  <c r="G311" i="1" s="1"/>
  <c r="F300" i="1"/>
  <c r="G300" i="1" s="1"/>
  <c r="F321" i="1"/>
  <c r="G321" i="1" s="1"/>
  <c r="F322" i="1"/>
  <c r="G322" i="1" s="1"/>
  <c r="F287" i="1"/>
  <c r="G287" i="1" s="1"/>
  <c r="F288" i="1"/>
  <c r="G288" i="1" s="1"/>
  <c r="F266" i="1"/>
  <c r="F143" i="1"/>
  <c r="G143" i="1" s="1"/>
  <c r="F145" i="1"/>
  <c r="G145" i="1" s="1"/>
  <c r="F132" i="1"/>
  <c r="G132" i="1" s="1"/>
  <c r="F133" i="1"/>
  <c r="G133" i="1" s="1"/>
  <c r="F134" i="1"/>
  <c r="G134" i="1" s="1"/>
  <c r="D123" i="1"/>
  <c r="F123" i="1" s="1"/>
  <c r="G123" i="1" s="1"/>
  <c r="D120" i="1"/>
  <c r="G120" i="1" s="1"/>
  <c r="D119" i="1"/>
  <c r="D118" i="1"/>
  <c r="F118" i="1" s="1"/>
  <c r="G118" i="1" s="1"/>
  <c r="D115" i="1"/>
  <c r="F115" i="1" s="1"/>
  <c r="G115" i="1" s="1"/>
  <c r="D114" i="1"/>
  <c r="F114" i="1" s="1"/>
  <c r="G114" i="1" s="1"/>
  <c r="D113" i="1"/>
  <c r="F113" i="1" s="1"/>
  <c r="G113" i="1" s="1"/>
  <c r="D110" i="1"/>
  <c r="F110" i="1" s="1"/>
  <c r="G110" i="1" s="1"/>
  <c r="D109" i="1"/>
  <c r="F109" i="1" s="1"/>
  <c r="G109" i="1" s="1"/>
  <c r="D108" i="1"/>
  <c r="F108" i="1" s="1"/>
  <c r="G108" i="1" s="1"/>
  <c r="F112" i="1"/>
  <c r="G112" i="1" s="1"/>
  <c r="G117" i="1"/>
  <c r="F122" i="1"/>
  <c r="G122" i="1" s="1"/>
  <c r="F142" i="1"/>
  <c r="G142" i="1" s="1"/>
  <c r="D97" i="1"/>
  <c r="F97" i="1" s="1"/>
  <c r="G97" i="1" s="1"/>
  <c r="D96" i="1"/>
  <c r="F96" i="1" s="1"/>
  <c r="G96" i="1" s="1"/>
  <c r="D95" i="1"/>
  <c r="F95" i="1" s="1"/>
  <c r="G95" i="1" s="1"/>
  <c r="F99" i="1"/>
  <c r="G99" i="1" s="1"/>
  <c r="F101" i="1"/>
  <c r="G101" i="1" s="1"/>
  <c r="F102" i="1"/>
  <c r="G102" i="1" s="1"/>
  <c r="F103" i="1"/>
  <c r="G103" i="1" s="1"/>
  <c r="F104" i="1"/>
  <c r="G104" i="1" s="1"/>
  <c r="F106" i="1"/>
  <c r="G106" i="1" s="1"/>
  <c r="F93" i="1"/>
  <c r="G93" i="1" s="1"/>
  <c r="D91" i="1"/>
  <c r="F91" i="1" s="1"/>
  <c r="G91" i="1" s="1"/>
  <c r="D90" i="1"/>
  <c r="F90" i="1" s="1"/>
  <c r="G90" i="1" s="1"/>
  <c r="D89" i="1"/>
  <c r="F87" i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52" i="1"/>
  <c r="G52" i="1" s="1"/>
  <c r="F51" i="1"/>
  <c r="G51" i="1" s="1"/>
  <c r="F50" i="1"/>
  <c r="G50" i="1" s="1"/>
  <c r="F45" i="1"/>
  <c r="G45" i="1" s="1"/>
  <c r="F46" i="1"/>
  <c r="G46" i="1" s="1"/>
  <c r="F47" i="1"/>
  <c r="G47" i="1" s="1"/>
  <c r="F48" i="1"/>
  <c r="G48" i="1" s="1"/>
  <c r="F49" i="1"/>
  <c r="G49" i="1" s="1"/>
  <c r="F42" i="1"/>
  <c r="G42" i="1" s="1"/>
  <c r="F43" i="1"/>
  <c r="G43" i="1" s="1"/>
  <c r="F44" i="1"/>
  <c r="G44" i="1" s="1"/>
  <c r="F39" i="1"/>
  <c r="G39" i="1" s="1"/>
  <c r="F40" i="1"/>
  <c r="G40" i="1" s="1"/>
  <c r="F34" i="1"/>
  <c r="G34" i="1" s="1"/>
  <c r="F35" i="1"/>
  <c r="G35" i="1" s="1"/>
  <c r="F36" i="1"/>
  <c r="G36" i="1" s="1"/>
  <c r="F37" i="1"/>
  <c r="G37" i="1" s="1"/>
  <c r="F38" i="1"/>
  <c r="G38" i="1" s="1"/>
  <c r="G32" i="1"/>
  <c r="G33" i="1"/>
  <c r="G24" i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19" i="1"/>
  <c r="G19" i="1" s="1"/>
  <c r="F18" i="1"/>
  <c r="G18" i="1" s="1"/>
  <c r="F14" i="1"/>
  <c r="G14" i="1" s="1"/>
  <c r="F15" i="1"/>
  <c r="G15" i="1" s="1"/>
  <c r="F16" i="1"/>
  <c r="G16" i="1" s="1"/>
  <c r="F17" i="1"/>
  <c r="G17" i="1" s="1"/>
  <c r="F11" i="1"/>
  <c r="F13" i="1"/>
  <c r="G13" i="1" s="1"/>
  <c r="F12" i="1"/>
  <c r="G12" i="1" s="1"/>
  <c r="F135" i="1"/>
  <c r="G135" i="1" s="1"/>
  <c r="F137" i="1"/>
  <c r="G137" i="1" s="1"/>
  <c r="F139" i="1"/>
  <c r="G139" i="1" s="1"/>
  <c r="H261" i="1"/>
  <c r="G261" i="1"/>
  <c r="H260" i="1"/>
  <c r="G260" i="1"/>
  <c r="G259" i="1"/>
  <c r="H365" i="1" l="1"/>
  <c r="G87" i="1"/>
  <c r="I87" i="1" s="1"/>
  <c r="F89" i="1"/>
  <c r="G89" i="1" s="1"/>
  <c r="I89" i="1" s="1"/>
  <c r="D166" i="1"/>
  <c r="G266" i="1"/>
  <c r="F365" i="1"/>
  <c r="G252" i="1"/>
  <c r="F252" i="1"/>
  <c r="F84" i="1"/>
  <c r="I200" i="1"/>
  <c r="M200" i="1" s="1"/>
  <c r="I218" i="1"/>
  <c r="M218" i="1" s="1"/>
  <c r="I227" i="1"/>
  <c r="I235" i="1"/>
  <c r="I243" i="1"/>
  <c r="I203" i="1"/>
  <c r="M203" i="1" s="1"/>
  <c r="I213" i="1"/>
  <c r="M213" i="1" s="1"/>
  <c r="I221" i="1"/>
  <c r="I230" i="1"/>
  <c r="I246" i="1"/>
  <c r="I199" i="1"/>
  <c r="M199" i="1" s="1"/>
  <c r="I206" i="1"/>
  <c r="M206" i="1" s="1"/>
  <c r="I216" i="1"/>
  <c r="M216" i="1" s="1"/>
  <c r="I225" i="1"/>
  <c r="I233" i="1"/>
  <c r="M181" i="1"/>
  <c r="I198" i="1"/>
  <c r="M198" i="1" s="1"/>
  <c r="I201" i="1"/>
  <c r="M201" i="1" s="1"/>
  <c r="I228" i="1"/>
  <c r="I236" i="1"/>
  <c r="I244" i="1"/>
  <c r="I204" i="1"/>
  <c r="M204" i="1" s="1"/>
  <c r="I214" i="1"/>
  <c r="M214" i="1" s="1"/>
  <c r="I222" i="1"/>
  <c r="I231" i="1"/>
  <c r="I247" i="1"/>
  <c r="I207" i="1"/>
  <c r="M207" i="1" s="1"/>
  <c r="I217" i="1"/>
  <c r="M217" i="1" s="1"/>
  <c r="I226" i="1"/>
  <c r="I242" i="1"/>
  <c r="I202" i="1"/>
  <c r="M202" i="1" s="1"/>
  <c r="I212" i="1"/>
  <c r="M212" i="1" s="1"/>
  <c r="I220" i="1"/>
  <c r="I229" i="1"/>
  <c r="I245" i="1"/>
  <c r="I208" i="1"/>
  <c r="M208" i="1" s="1"/>
  <c r="I224" i="1"/>
  <c r="I232" i="1"/>
  <c r="I248" i="1"/>
  <c r="I234" i="1"/>
  <c r="I205" i="1"/>
  <c r="M205" i="1" s="1"/>
  <c r="I210" i="1"/>
  <c r="M210" i="1" s="1"/>
  <c r="I215" i="1"/>
  <c r="M215" i="1" s="1"/>
  <c r="M180" i="1"/>
  <c r="I190" i="1"/>
  <c r="M190" i="1" s="1"/>
  <c r="I196" i="1"/>
  <c r="M196" i="1" s="1"/>
  <c r="I197" i="1"/>
  <c r="M197" i="1" s="1"/>
  <c r="M176" i="1"/>
  <c r="M185" i="1"/>
  <c r="I191" i="1"/>
  <c r="M191" i="1" s="1"/>
  <c r="M179" i="1"/>
  <c r="M172" i="1"/>
  <c r="M174" i="1"/>
  <c r="M177" i="1"/>
  <c r="M182" i="1"/>
  <c r="I192" i="1"/>
  <c r="M192" i="1" s="1"/>
  <c r="M173" i="1"/>
  <c r="M175" i="1"/>
  <c r="M178" i="1"/>
  <c r="M183" i="1"/>
  <c r="I193" i="1"/>
  <c r="M193" i="1" s="1"/>
  <c r="I195" i="1"/>
  <c r="M195" i="1" s="1"/>
  <c r="M184" i="1"/>
  <c r="I194" i="1"/>
  <c r="M194" i="1" s="1"/>
  <c r="I83" i="1"/>
  <c r="I76" i="1"/>
  <c r="I75" i="1"/>
  <c r="I77" i="1"/>
  <c r="I73" i="1"/>
  <c r="I86" i="1"/>
  <c r="I74" i="1"/>
  <c r="I346" i="1"/>
  <c r="I345" i="1"/>
  <c r="I364" i="1"/>
  <c r="I363" i="1"/>
  <c r="I343" i="1"/>
  <c r="I347" i="1"/>
  <c r="I344" i="1"/>
  <c r="I291" i="1"/>
  <c r="I339" i="1"/>
  <c r="I340" i="1"/>
  <c r="I317" i="1"/>
  <c r="I318" i="1"/>
  <c r="I125" i="1"/>
  <c r="I130" i="1"/>
  <c r="I129" i="1"/>
  <c r="I124" i="1"/>
  <c r="I127" i="1"/>
  <c r="I128" i="1"/>
  <c r="I126" i="1"/>
  <c r="I70" i="1"/>
  <c r="I22" i="1"/>
  <c r="I23" i="1"/>
  <c r="G119" i="1"/>
  <c r="I119" i="1" s="1"/>
  <c r="I333" i="1"/>
  <c r="I336" i="1"/>
  <c r="I338" i="1"/>
  <c r="I330" i="1"/>
  <c r="I337" i="1"/>
  <c r="I331" i="1"/>
  <c r="I335" i="1"/>
  <c r="I328" i="1"/>
  <c r="I326" i="1"/>
  <c r="I327" i="1"/>
  <c r="I334" i="1"/>
  <c r="I332" i="1"/>
  <c r="I325" i="1"/>
  <c r="I161" i="1"/>
  <c r="I153" i="1"/>
  <c r="I162" i="1"/>
  <c r="I148" i="1"/>
  <c r="I154" i="1"/>
  <c r="I164" i="1"/>
  <c r="I149" i="1"/>
  <c r="I156" i="1"/>
  <c r="I165" i="1"/>
  <c r="I157" i="1"/>
  <c r="I151" i="1"/>
  <c r="I160" i="1"/>
  <c r="I152" i="1"/>
  <c r="I150" i="1"/>
  <c r="I155" i="1"/>
  <c r="I163" i="1"/>
  <c r="I158" i="1"/>
  <c r="I69" i="1"/>
  <c r="I66" i="1"/>
  <c r="I67" i="1"/>
  <c r="I72" i="1"/>
  <c r="I68" i="1"/>
  <c r="I71" i="1"/>
  <c r="I65" i="1"/>
  <c r="G373" i="1"/>
  <c r="I63" i="1"/>
  <c r="G11" i="1"/>
  <c r="G84" i="1" s="1"/>
  <c r="I94" i="1"/>
  <c r="I107" i="1"/>
  <c r="I88" i="1"/>
  <c r="I316" i="1"/>
  <c r="I315" i="1"/>
  <c r="I280" i="1"/>
  <c r="I285" i="1"/>
  <c r="I278" i="1"/>
  <c r="I283" i="1"/>
  <c r="I281" i="1"/>
  <c r="I284" i="1"/>
  <c r="I279" i="1"/>
  <c r="I282" i="1"/>
  <c r="I272" i="1"/>
  <c r="I275" i="1"/>
  <c r="I276" i="1"/>
  <c r="I273" i="1"/>
  <c r="I277" i="1"/>
  <c r="I274" i="1"/>
  <c r="I271" i="1"/>
  <c r="I268" i="1"/>
  <c r="I267" i="1"/>
  <c r="I270" i="1"/>
  <c r="I269" i="1"/>
  <c r="I146" i="1"/>
  <c r="I147" i="1"/>
  <c r="I323" i="1"/>
  <c r="I324" i="1"/>
  <c r="I372" i="1"/>
  <c r="I373" i="1" s="1"/>
  <c r="I305" i="1"/>
  <c r="I310" i="1"/>
  <c r="I27" i="1"/>
  <c r="I260" i="1"/>
  <c r="I308" i="1"/>
  <c r="I290" i="1"/>
  <c r="I51" i="1"/>
  <c r="I100" i="1"/>
  <c r="I304" i="1"/>
  <c r="I287" i="1"/>
  <c r="I309" i="1"/>
  <c r="I289" i="1"/>
  <c r="I117" i="1"/>
  <c r="I321" i="1"/>
  <c r="I17" i="1"/>
  <c r="I259" i="1"/>
  <c r="I44" i="1"/>
  <c r="I139" i="1"/>
  <c r="I118" i="1"/>
  <c r="I109" i="1"/>
  <c r="I137" i="1"/>
  <c r="I110" i="1"/>
  <c r="I112" i="1"/>
  <c r="I101" i="1"/>
  <c r="I143" i="1"/>
  <c r="I122" i="1"/>
  <c r="I113" i="1"/>
  <c r="I106" i="1"/>
  <c r="I138" i="1"/>
  <c r="I115" i="1"/>
  <c r="I57" i="1"/>
  <c r="I30" i="1"/>
  <c r="L4" i="1"/>
  <c r="I16" i="1"/>
  <c r="I47" i="1"/>
  <c r="I142" i="1"/>
  <c r="I43" i="1"/>
  <c r="I104" i="1"/>
  <c r="I313" i="1"/>
  <c r="I376" i="1"/>
  <c r="I378" i="1" s="1"/>
  <c r="I261" i="1"/>
  <c r="I40" i="1"/>
  <c r="I38" i="1"/>
  <c r="I50" i="1"/>
  <c r="I96" i="1"/>
  <c r="I123" i="1"/>
  <c r="I135" i="1"/>
  <c r="I24" i="1"/>
  <c r="I49" i="1"/>
  <c r="I322" i="1"/>
  <c r="I307" i="1"/>
  <c r="I19" i="1"/>
  <c r="I314" i="1"/>
  <c r="I311" i="1"/>
  <c r="I60" i="1"/>
  <c r="I288" i="1"/>
  <c r="I91" i="1"/>
  <c r="I34" i="1"/>
  <c r="I56" i="1"/>
  <c r="I90" i="1"/>
  <c r="I29" i="1"/>
  <c r="I133" i="1"/>
  <c r="I300" i="1"/>
  <c r="I37" i="1"/>
  <c r="I52" i="1"/>
  <c r="I26" i="1"/>
  <c r="I97" i="1"/>
  <c r="I114" i="1"/>
  <c r="I145" i="1"/>
  <c r="I32" i="1"/>
  <c r="I36" i="1"/>
  <c r="I35" i="1"/>
  <c r="I99" i="1"/>
  <c r="I120" i="1"/>
  <c r="I14" i="1"/>
  <c r="I25" i="1"/>
  <c r="I39" i="1"/>
  <c r="I93" i="1"/>
  <c r="I59" i="1"/>
  <c r="I306" i="1"/>
  <c r="I28" i="1"/>
  <c r="I13" i="1"/>
  <c r="I61" i="1"/>
  <c r="I15" i="1"/>
  <c r="I45" i="1"/>
  <c r="I33" i="1"/>
  <c r="I62" i="1"/>
  <c r="I95" i="1"/>
  <c r="I102" i="1"/>
  <c r="I108" i="1"/>
  <c r="I12" i="1"/>
  <c r="I312" i="1"/>
  <c r="I42" i="1"/>
  <c r="I58" i="1"/>
  <c r="I103" i="1"/>
  <c r="I134" i="1"/>
  <c r="I132" i="1"/>
  <c r="I18" i="1"/>
  <c r="I46" i="1"/>
  <c r="I55" i="1"/>
  <c r="I54" i="1"/>
  <c r="I48" i="1"/>
  <c r="G166" i="1" l="1"/>
  <c r="C385" i="1" s="1"/>
  <c r="I266" i="1"/>
  <c r="I365" i="1" s="1"/>
  <c r="G365" i="1"/>
  <c r="C386" i="1" s="1"/>
  <c r="I166" i="1"/>
  <c r="I252" i="1"/>
  <c r="F166" i="1"/>
  <c r="I11" i="1"/>
  <c r="I84" i="1" s="1"/>
  <c r="Q4" i="1"/>
  <c r="N4" i="1"/>
  <c r="P4" i="1" s="1"/>
  <c r="L5" i="1"/>
  <c r="H393" i="1" l="1"/>
  <c r="R4" i="1"/>
  <c r="M5" i="1"/>
</calcChain>
</file>

<file path=xl/sharedStrings.xml><?xml version="1.0" encoding="utf-8"?>
<sst xmlns="http://schemas.openxmlformats.org/spreadsheetml/2006/main" count="473" uniqueCount="353">
  <si>
    <t>Vare</t>
  </si>
  <si>
    <t>Gram</t>
  </si>
  <si>
    <t>Købspris</t>
  </si>
  <si>
    <t>I Alt</t>
  </si>
  <si>
    <t>Oversigt over Guld varer på lager</t>
  </si>
  <si>
    <t>Oversigt over Sølv  varer på lager</t>
  </si>
  <si>
    <t>Finsølv gram</t>
  </si>
  <si>
    <t>Verdensmarkedsprisen</t>
  </si>
  <si>
    <t>Guld</t>
  </si>
  <si>
    <t>Euro</t>
  </si>
  <si>
    <t>DK</t>
  </si>
  <si>
    <t>Sølv</t>
  </si>
  <si>
    <t>Opdateret</t>
  </si>
  <si>
    <t>Billede</t>
  </si>
  <si>
    <t xml:space="preserve">Lager dato </t>
  </si>
  <si>
    <t>vægt</t>
  </si>
  <si>
    <t>Antal</t>
  </si>
  <si>
    <t xml:space="preserve"> </t>
  </si>
  <si>
    <t>pris</t>
  </si>
  <si>
    <t>Vægt</t>
  </si>
  <si>
    <t>Metalor</t>
  </si>
  <si>
    <t>22kt</t>
  </si>
  <si>
    <t>%</t>
  </si>
  <si>
    <t>grampris</t>
  </si>
  <si>
    <t>Dyrberg Kern 736.stk</t>
  </si>
  <si>
    <t>Blandet ny sølvsmykker(925)</t>
  </si>
  <si>
    <t xml:space="preserve">I alt </t>
  </si>
  <si>
    <t>Guldbarrer</t>
  </si>
  <si>
    <t>Umicore</t>
  </si>
  <si>
    <t>Umicore Stamped</t>
  </si>
  <si>
    <t>Umicore Cast</t>
  </si>
  <si>
    <t>Metalor Wafer</t>
  </si>
  <si>
    <t>Metalor Cast</t>
  </si>
  <si>
    <t>Philoro</t>
  </si>
  <si>
    <t>Heraeus</t>
  </si>
  <si>
    <t>Guldmønter</t>
  </si>
  <si>
    <t>Britannia 1oz</t>
  </si>
  <si>
    <t>Britannia 1/2 oz</t>
  </si>
  <si>
    <t>Britannia 1/4 oz</t>
  </si>
  <si>
    <t>Britannia 1/10 oz</t>
  </si>
  <si>
    <t>Maple Leaf 1oz</t>
  </si>
  <si>
    <t>Maple Leaf 1/2 oz</t>
  </si>
  <si>
    <t>Maple Leaf 1/4 oz</t>
  </si>
  <si>
    <t>Maple Leaf 1/10 oz</t>
  </si>
  <si>
    <t>Kangaroo 1oz</t>
  </si>
  <si>
    <t>Kangaroo 1/2 oz</t>
  </si>
  <si>
    <t xml:space="preserve">Kangaroo 1/4 oz </t>
  </si>
  <si>
    <t xml:space="preserve">Kangaroo 1/10 oz </t>
  </si>
  <si>
    <t>Krugerrand 1 oz</t>
  </si>
  <si>
    <t>Krugerrand 1/2 oz</t>
  </si>
  <si>
    <t>Krugerrand 1/4 oz</t>
  </si>
  <si>
    <t>Krugerrand 1/10 oz</t>
  </si>
  <si>
    <t>Philharmonic 1/2 oz</t>
  </si>
  <si>
    <t>Philharmonic 1/4 oz</t>
  </si>
  <si>
    <t>Philharmonic 1/10 oz</t>
  </si>
  <si>
    <t xml:space="preserve">25 kurush </t>
  </si>
  <si>
    <t xml:space="preserve">50 kurush </t>
  </si>
  <si>
    <t xml:space="preserve">100 kurush </t>
  </si>
  <si>
    <t xml:space="preserve">250 kurush </t>
  </si>
  <si>
    <t>Resat lira</t>
  </si>
  <si>
    <t>Little emperor Pengiun 0,5g</t>
  </si>
  <si>
    <t>In Gold We Trust bar 0,311g</t>
  </si>
  <si>
    <t>Guldsmykker</t>
  </si>
  <si>
    <t>Sølvbarrer</t>
  </si>
  <si>
    <t>Metalor 100g cast bar</t>
  </si>
  <si>
    <t>Sølvmønter</t>
  </si>
  <si>
    <t>Platin</t>
  </si>
  <si>
    <t>Panzer halskæde i 18 karat guld</t>
  </si>
  <si>
    <t>Austaralsk Kookaburra 2003 1/2oz</t>
  </si>
  <si>
    <t>Ol Tokyo- 1000 Yen 925</t>
  </si>
  <si>
    <t xml:space="preserve">Christian IV Mønt </t>
  </si>
  <si>
    <t>Austaralsk Kookaburra 2003 1oz</t>
  </si>
  <si>
    <t>Austaralsk Kookaburra 2002 1/2oz</t>
  </si>
  <si>
    <t>Kinesisk Panda 1oz 2010</t>
  </si>
  <si>
    <t>Oversigt over Platin og Palladium varer på lager</t>
  </si>
  <si>
    <t>Palladium</t>
  </si>
  <si>
    <t>PLATIN</t>
  </si>
  <si>
    <t>Pamp Suisse bar1oz</t>
  </si>
  <si>
    <t>Platin i alt</t>
  </si>
  <si>
    <t>Plaladium i alt</t>
  </si>
  <si>
    <t>opdateret på shop</t>
  </si>
  <si>
    <t>Valcambi</t>
  </si>
  <si>
    <t>HS</t>
  </si>
  <si>
    <t>BNH</t>
  </si>
  <si>
    <t>Panda 30g (2021)</t>
  </si>
  <si>
    <t>Panda 30g (2022)</t>
  </si>
  <si>
    <t>Panda 15g (2022)</t>
  </si>
  <si>
    <t>Panda 3g (2022)</t>
  </si>
  <si>
    <t>Panda 1g (2022)</t>
  </si>
  <si>
    <t>Heraeus 100g bar</t>
  </si>
  <si>
    <t>Jaa</t>
  </si>
  <si>
    <t xml:space="preserve">  </t>
  </si>
  <si>
    <t>Metalor 1000g cast bar</t>
  </si>
  <si>
    <t>Metalor 500g cast bar</t>
  </si>
  <si>
    <t>Metalor 250g cast bar</t>
  </si>
  <si>
    <t>Argor - Heraeus 1000g</t>
  </si>
  <si>
    <t>Argor - Heraeus 500g</t>
  </si>
  <si>
    <t>Argor - Heraeus 250g</t>
  </si>
  <si>
    <t>Argor - Heraeus 100g</t>
  </si>
  <si>
    <t>Argor - Heraeus 1oz</t>
  </si>
  <si>
    <t>Argor - Heraeus 50g</t>
  </si>
  <si>
    <t>Umicore 1000g</t>
  </si>
  <si>
    <t>Umicore 500g</t>
  </si>
  <si>
    <t>Umicore 250g</t>
  </si>
  <si>
    <t>Umicore 100g</t>
  </si>
  <si>
    <t>Umicore 50g</t>
  </si>
  <si>
    <t>Umicore 1oz</t>
  </si>
  <si>
    <t>Umicore 20g</t>
  </si>
  <si>
    <t>Umicore 10g</t>
  </si>
  <si>
    <t>Sitting Bull- Indiana mønt 1000g</t>
  </si>
  <si>
    <t>Eagle Majestic Wildlife mønt 1000g</t>
  </si>
  <si>
    <t>Sovereign samling med let guld belægning</t>
  </si>
  <si>
    <t>Kangaroo 1oz - 2022</t>
  </si>
  <si>
    <t>Britannia 1oz -2022</t>
  </si>
  <si>
    <t>Maple Leaf 1oz - 2022</t>
  </si>
  <si>
    <t>FBM</t>
  </si>
  <si>
    <t>Midas</t>
  </si>
  <si>
    <t>Gifa</t>
  </si>
  <si>
    <t>Panzer armlænke i 14 karat guld</t>
  </si>
  <si>
    <t>Murstens armlænke i 14 karat guld</t>
  </si>
  <si>
    <t>G.I.F.A</t>
  </si>
  <si>
    <t>Halskæde i 14 karat guld</t>
  </si>
  <si>
    <t>BEE</t>
  </si>
  <si>
    <t>Panzer armlænke i 8 karat guld</t>
  </si>
  <si>
    <t>Blok armlænke i 14 karat guld</t>
  </si>
  <si>
    <t>Geneve armlænke i 14 karat guld</t>
  </si>
  <si>
    <t>Valcambi combi 5g stjerne</t>
  </si>
  <si>
    <t>AUSTRALIAN WEDGE-TAILED EAGLE 1OZ SØLVMØNT (2022)</t>
  </si>
  <si>
    <t>Munze</t>
  </si>
  <si>
    <t>Titanic - the quen of the ocean 1/10oz</t>
  </si>
  <si>
    <t>Viking Helmet 10oz Silver Exclusive edit</t>
  </si>
  <si>
    <t>IIHF Ishokcey VM 2022</t>
  </si>
  <si>
    <t>T.S.J</t>
  </si>
  <si>
    <t>Bismarck halskæde med forløb i 14 karat guld</t>
  </si>
  <si>
    <t>Bikube armlænke i 14 karat guld</t>
  </si>
  <si>
    <t>HU</t>
  </si>
  <si>
    <t>Armring i 14 karat guld</t>
  </si>
  <si>
    <t>Aur.</t>
  </si>
  <si>
    <t>M&amp;P</t>
  </si>
  <si>
    <t>Creoler i 18 karat guld</t>
  </si>
  <si>
    <t>KL</t>
  </si>
  <si>
    <t>Panzer armlænke i 14 karat rødguld</t>
  </si>
  <si>
    <t>Y-mønster armlænke i 14 karat guld</t>
  </si>
  <si>
    <t>Aur</t>
  </si>
  <si>
    <t>HS:</t>
  </si>
  <si>
    <t>Rundanker armlænke i 14 karat guld</t>
  </si>
  <si>
    <t>Rundanker halskæde i 14 karat guld</t>
  </si>
  <si>
    <t>Sovereign sølvmønt</t>
  </si>
  <si>
    <t>Valcambi combi 50g</t>
  </si>
  <si>
    <t>Pamp</t>
  </si>
  <si>
    <t>Philharmonic 1oz 2024</t>
  </si>
  <si>
    <t>Year of snake III 1oz</t>
  </si>
  <si>
    <t>Year of snake III 1/4oz</t>
  </si>
  <si>
    <t>Australian coat of arms 1oz -2021</t>
  </si>
  <si>
    <t>Ikke slået op</t>
  </si>
  <si>
    <t>Merlin – Myths and Legends 1oz guldmønt (2023)</t>
  </si>
  <si>
    <t>Morgan Le Fay 1 oz – Myths and Legends (2024)</t>
  </si>
  <si>
    <t>American eagle 1/10oz</t>
  </si>
  <si>
    <t xml:space="preserve">Panda 8g </t>
  </si>
  <si>
    <t>Fifa 2022 sølv</t>
  </si>
  <si>
    <t>alfons åberg 15,55g sølvmønt</t>
  </si>
  <si>
    <t>2 oz daisy sølvmønter</t>
  </si>
  <si>
    <t>roger federer sølvmønt</t>
  </si>
  <si>
    <t>Sydney sølvmønt 1oz</t>
  </si>
  <si>
    <t>Cheeteeh</t>
  </si>
  <si>
    <t>In gold we trust- teh cenntiniel nugget 2,5g</t>
  </si>
  <si>
    <t>Uima Huone 0,5g</t>
  </si>
  <si>
    <t>Nuuska 0,5g</t>
  </si>
  <si>
    <t>Riippumatio 0,5g</t>
  </si>
  <si>
    <t>Hattivatten 0,5g</t>
  </si>
  <si>
    <t>Fifa world cup 1000g</t>
  </si>
  <si>
    <t>NK</t>
  </si>
  <si>
    <t>Dia. 1,50cm</t>
  </si>
  <si>
    <t>Hro</t>
  </si>
  <si>
    <t>Elegant armlænke i 14 karat guld</t>
  </si>
  <si>
    <t>Kugle armbånd med 25 kurush i 14 karat guld</t>
  </si>
  <si>
    <t>22,45 / 8,66</t>
  </si>
  <si>
    <t>Vedhæng med 5 resat guldmønt i 22 karat guld</t>
  </si>
  <si>
    <t>Dia. 41,6mm</t>
  </si>
  <si>
    <t>M.SK.</t>
  </si>
  <si>
    <t>JøS</t>
  </si>
  <si>
    <t>CØT</t>
  </si>
  <si>
    <t>TEL</t>
  </si>
  <si>
    <t>Dia. 65</t>
  </si>
  <si>
    <t>Dia. 66</t>
  </si>
  <si>
    <t>Kvatratisk armring i 14 karat guld</t>
  </si>
  <si>
    <t>5,80 / 5,00</t>
  </si>
  <si>
    <t>CPH</t>
  </si>
  <si>
    <t>Kraftig panzer halskæde i 14 karat guld</t>
  </si>
  <si>
    <t>Halskæde - plade mønster i 14 karat guld</t>
  </si>
  <si>
    <t>Str. 63</t>
  </si>
  <si>
    <t>noe</t>
  </si>
  <si>
    <t>Herrering med matteret overflade i 14 karat guld</t>
  </si>
  <si>
    <t>Anker armlænke i 8 karat guld</t>
  </si>
  <si>
    <t>SB</t>
  </si>
  <si>
    <t>Dia. 63</t>
  </si>
  <si>
    <t>ihu</t>
  </si>
  <si>
    <t>Massiv rundformet armlænke i 8 karat guld</t>
  </si>
  <si>
    <t>Dia. 67</t>
  </si>
  <si>
    <t>Geneve halskæde med forløb i 8 karat guld</t>
  </si>
  <si>
    <t>7,05 / 5,62</t>
  </si>
  <si>
    <t>Jab</t>
  </si>
  <si>
    <t>Panzer halskæde i 8 karat guld</t>
  </si>
  <si>
    <t>Ring med matteret overflade i 8 karat guld</t>
  </si>
  <si>
    <t>13,42 / 4,3</t>
  </si>
  <si>
    <t>Damering i 8 karat guld</t>
  </si>
  <si>
    <t>Str. 55</t>
  </si>
  <si>
    <t>6,7 / 2,8</t>
  </si>
  <si>
    <t>Str. 66</t>
  </si>
  <si>
    <t>10,94 / 4,22</t>
  </si>
  <si>
    <t>Vedhæng med kvart resat guldmønt i 22 karat guld</t>
  </si>
  <si>
    <t>OSAB</t>
  </si>
  <si>
    <t>Lang Bjørn Borg halskæde 18 karat guld</t>
  </si>
  <si>
    <t>Hvidgulds halskæde med kors i 14 karat guld</t>
  </si>
  <si>
    <t>Halskæde med kanin vedhæng i 14 karat guld</t>
  </si>
  <si>
    <t>Bjørn Borg halskæde 14 karat guld</t>
  </si>
  <si>
    <t>R&amp;A</t>
  </si>
  <si>
    <t>Elegant armlænke med blank og slået finish  i 14 karat guld</t>
  </si>
  <si>
    <t>Dobbelt bismarck armlænke i 14 karat guld</t>
  </si>
  <si>
    <t>ASCO</t>
  </si>
  <si>
    <t>Flettet panser design i 18 karat guld</t>
  </si>
  <si>
    <t>Tyrkisk Burma armlænke i 22 karat guld</t>
  </si>
  <si>
    <t>Dia. Ø63</t>
  </si>
  <si>
    <t>Kocak</t>
  </si>
  <si>
    <t>Dia. Ø67</t>
  </si>
  <si>
    <t>Vedhæng med kurush guldmønter i 22 karat guld</t>
  </si>
  <si>
    <t>Vedhæng med resat guldmønt i 22 karat guld</t>
  </si>
  <si>
    <t>Ørehængere med resat guldmønter i 22 karat guld</t>
  </si>
  <si>
    <t>34,60/23,11</t>
  </si>
  <si>
    <t>Armring guld, rødguld og hvidguld kugler i 18 karat guld</t>
  </si>
  <si>
    <t>Dia. Ø70</t>
  </si>
  <si>
    <t>1536-2</t>
  </si>
  <si>
    <t>Stribet armring i 18 karat guld</t>
  </si>
  <si>
    <t>Dia. Ø64,5</t>
  </si>
  <si>
    <t>Parish Gold</t>
  </si>
  <si>
    <t>Matteret armring i 18 karat guld</t>
  </si>
  <si>
    <t>Matteret armring i 18 karat rødguld</t>
  </si>
  <si>
    <t>Mangler foto</t>
  </si>
  <si>
    <t>Mangler foto redigering</t>
  </si>
  <si>
    <t>Flad snake armlænke i 18 karat guld</t>
  </si>
  <si>
    <t>Dia. 3,10cm</t>
  </si>
  <si>
    <t>ECI</t>
  </si>
  <si>
    <t>Creoler med perler i 18 karat hvidguld</t>
  </si>
  <si>
    <t>Dia. 3cm</t>
  </si>
  <si>
    <t>Creoler i 18 karat hvidguld</t>
  </si>
  <si>
    <t>BLU-ORO</t>
  </si>
  <si>
    <t>Dia. 1,90cm</t>
  </si>
  <si>
    <t>ZEN</t>
  </si>
  <si>
    <t>Creoler med 0,08ct diamanter i 18 karat hvidguld</t>
  </si>
  <si>
    <t>Matteret armring i 18 karat hvidguld</t>
  </si>
  <si>
    <t>Kvadratisk armring i 14 karat guld</t>
  </si>
  <si>
    <t>Dia. Ø60</t>
  </si>
  <si>
    <t>EA</t>
  </si>
  <si>
    <t>Armring med lås i 14 karat guld</t>
  </si>
  <si>
    <t>guldvirke</t>
  </si>
  <si>
    <t>Dia. 6,20/5,5cm</t>
  </si>
  <si>
    <t>Dråbe ørehængere i 14 karat guld</t>
  </si>
  <si>
    <t>OGH</t>
  </si>
  <si>
    <t>Sammenflettede ørehængere i 14 karat guld</t>
  </si>
  <si>
    <t>CR</t>
  </si>
  <si>
    <t>Kugleformet ørehængere i 14 karat guld</t>
  </si>
  <si>
    <t>Dia. 1,29cm</t>
  </si>
  <si>
    <t>smykker</t>
  </si>
  <si>
    <t>Austaralsk Kookaburra 2001 1oz</t>
  </si>
  <si>
    <t>Dronning Margrethe 60g sølvbarre</t>
  </si>
  <si>
    <t>ice hockey- Denmark 20g sølvmønt</t>
  </si>
  <si>
    <t>ice hockey- sweden 20g sølvmønt</t>
  </si>
  <si>
    <t>Euro fodbold - 20g sølvmønt</t>
  </si>
  <si>
    <t>Valcambi 1000g</t>
  </si>
  <si>
    <t>E.C.L</t>
  </si>
  <si>
    <t>Ø.S</t>
  </si>
  <si>
    <t>7,04/4,74</t>
  </si>
  <si>
    <t>Elegante ørehængere i 14 karat guld</t>
  </si>
  <si>
    <t>ukendt</t>
  </si>
  <si>
    <t>Ata Lira</t>
  </si>
  <si>
    <t>1/4 resat</t>
  </si>
  <si>
    <t>0,5 guldmønter</t>
  </si>
  <si>
    <t>Snorkmaiden 1/1000oz</t>
  </si>
  <si>
    <t>Mint of norway 10g guldbarre</t>
  </si>
  <si>
    <t>Schone 5g guldbarre</t>
  </si>
  <si>
    <t>Schone 2,5g guldbarre</t>
  </si>
  <si>
    <t>Degussa 10g guldbarre</t>
  </si>
  <si>
    <t>Div. 1g guldbarre</t>
  </si>
  <si>
    <t>Minde dukat 21,6kt guldmønt</t>
  </si>
  <si>
    <t>20kr guldmønt i 21,6kt</t>
  </si>
  <si>
    <t>10kr guldmønt i 21,6kt</t>
  </si>
  <si>
    <t>4 Dukat med ramme</t>
  </si>
  <si>
    <t>5g guldbarre med ramme</t>
  </si>
  <si>
    <t>100 kurush med ramme</t>
  </si>
  <si>
    <r>
      <t>5 Dollars </t>
    </r>
    <r>
      <rPr>
        <b/>
        <sz val="15"/>
        <color rgb="FF000088"/>
        <rFont val="Calibri"/>
        <family val="2"/>
        <scheme val="minor"/>
      </rPr>
      <t>Bald Eagle Recovery and National Emblem</t>
    </r>
  </si>
  <si>
    <t>Tour france 2,5 guldbarre</t>
  </si>
  <si>
    <t>thomas gustafson 5g</t>
  </si>
  <si>
    <t>American eagle 1/2oz 2023</t>
  </si>
  <si>
    <t>1 dukat</t>
  </si>
  <si>
    <t>Carl XVI Gustaf frimærke bar 0,999</t>
  </si>
  <si>
    <t>Pippi 10g sølvmønter 0,999</t>
  </si>
  <si>
    <t>White House 1oz sølvmønter 0,999</t>
  </si>
  <si>
    <t>Jule træs sølvmønt 0,999</t>
  </si>
  <si>
    <t>czech North pole sølvmønt 0,900</t>
  </si>
  <si>
    <t>40% sølvmønter</t>
  </si>
  <si>
    <t>60% sølvmønter</t>
  </si>
  <si>
    <t>Danamrks Vikinger sølvmønter 0,999</t>
  </si>
  <si>
    <t>Kronprinsesse Mary 100g sølvmønt 0,999</t>
  </si>
  <si>
    <t>Mønter i 20g</t>
  </si>
  <si>
    <t>Disney 1oz sølvmønt 0,999</t>
  </si>
  <si>
    <t>Christian IV 4 speciedaler (mat mønt) 0,999</t>
  </si>
  <si>
    <t>Daisy 2 oz sølvmønt</t>
  </si>
  <si>
    <t>5g guldbarre med ramme (pamp)</t>
  </si>
  <si>
    <t>Crocodile Untamed Landscape</t>
  </si>
  <si>
    <t xml:space="preserve">Dreaming Down Under - Kangaroo 1/2oz Proof </t>
  </si>
  <si>
    <t>The Queen’s Beasts 1 oz sølvmønt</t>
  </si>
  <si>
    <t>Star Wars™ Light Side 1 oz sølvbar</t>
  </si>
  <si>
    <t>Wildflowers of Australia 2022</t>
  </si>
  <si>
    <t>Australian Nugget- Little Hero 1oz – 2022</t>
  </si>
  <si>
    <t>Tuvalu – The Phantom-</t>
  </si>
  <si>
    <t xml:space="preserve">Bond of the 1980s Silver Coin (2025) </t>
  </si>
  <si>
    <t>Parasaurolophus 1oz sølvmønt (2022)</t>
  </si>
  <si>
    <t>Liopleurodon 1oz sølvmønt (2022)</t>
  </si>
  <si>
    <t>World’s Wildlife – Bear 1 oz sølvmønt 2022</t>
  </si>
  <si>
    <t>Coat of arms 2023</t>
  </si>
  <si>
    <t>Mexico Libertad sølvmønt (2022)</t>
  </si>
  <si>
    <t>Australia RAM Lunar Hare 1 oz sølvmønt (2023)</t>
  </si>
  <si>
    <t>Tokelau Bull and Bear 1oz sølvmønt (2022)</t>
  </si>
  <si>
    <t>Buffalo 1oz</t>
  </si>
  <si>
    <t>Gamle biler barre i sterling (100 x 1,58g)</t>
  </si>
  <si>
    <t>Pre-Tombstone 1 kg sølvbarre</t>
  </si>
  <si>
    <t>Pre-Fiji 100g (i ny pakning)</t>
  </si>
  <si>
    <t>Pre-Valcambi combi 100g</t>
  </si>
  <si>
    <t>Pre- Argo Heraeus 100g</t>
  </si>
  <si>
    <t>Kinesisk erindringsmønt fra beijing OL-2008 1oz</t>
  </si>
  <si>
    <t>USA Apollo 11 50-års jubile - 2019- 1oz</t>
  </si>
  <si>
    <t>Koala 2007 - 1oz</t>
  </si>
  <si>
    <t>Diverse. Amerkanske dollar + andet i div lødig</t>
  </si>
  <si>
    <t>Pre-Diverse- pippi/andet sølvbarrer</t>
  </si>
  <si>
    <t>Pre- Div. 1kg barrer - stonex/</t>
  </si>
  <si>
    <t>Pre- Dragon Dragon 1oz sølvbarre</t>
  </si>
  <si>
    <t>Pamp Lunar Legend - year of snake 10g</t>
  </si>
  <si>
    <t>skal smeltes</t>
  </si>
  <si>
    <t>Finsølv i alt</t>
  </si>
  <si>
    <t>Finguld i alt</t>
  </si>
  <si>
    <t>F13107</t>
  </si>
  <si>
    <t>F13137</t>
  </si>
  <si>
    <t>Kasse/pose</t>
  </si>
  <si>
    <t>sterling (minus sten)</t>
  </si>
  <si>
    <t>Ürün</t>
  </si>
  <si>
    <t>tane</t>
  </si>
  <si>
    <t>Haz altin gram</t>
  </si>
  <si>
    <t>Alis fiyati</t>
  </si>
  <si>
    <t>Spot fiyati (has altin orani göre)</t>
  </si>
  <si>
    <t>Uzunluyu (cm)</t>
  </si>
  <si>
    <t>Genisliyi (mm)</t>
  </si>
  <si>
    <t>Kalinliyi (mm)</t>
  </si>
  <si>
    <t>Ürütucu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</si>
</sst>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.&quot;_-;\-* #,##0.00\ &quot;kr.&quot;_-;_-* &quot;-&quot;??\ &quot;kr.&quot;_-;_-@_-"/>
  </numFmts>
  <fonts count="2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2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22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F242F"/>
      <name val="Arial"/>
      <family val="2"/>
    </font>
    <font>
      <b/>
      <sz val="20"/>
      <name val="Calibri"/>
      <family val="2"/>
      <scheme val="minor"/>
    </font>
    <font>
      <b/>
      <sz val="15"/>
      <color rgb="FF00008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4" borderId="0" applyNumberFormat="0" applyBorder="0" applyAlignment="0" applyProtection="0"/>
    <xf numFmtId="0" fontId="7" fillId="0" borderId="0"/>
    <xf numFmtId="44" fontId="2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14" fontId="1" fillId="0" borderId="2" xfId="0" applyNumberFormat="1" applyFont="1" applyBorder="1"/>
    <xf numFmtId="14" fontId="0" fillId="0" borderId="0" xfId="0" applyNumberFormat="1"/>
    <xf numFmtId="0" fontId="5" fillId="0" borderId="3" xfId="0" applyFont="1" applyBorder="1"/>
    <xf numFmtId="0" fontId="5" fillId="0" borderId="0" xfId="0" applyFont="1"/>
    <xf numFmtId="2" fontId="0" fillId="0" borderId="0" xfId="0" applyNumberFormat="1"/>
    <xf numFmtId="0" fontId="6" fillId="10" borderId="0" xfId="0" applyFont="1" applyFill="1"/>
    <xf numFmtId="0" fontId="1" fillId="0" borderId="5" xfId="0" applyFont="1" applyBorder="1"/>
    <xf numFmtId="44" fontId="0" fillId="0" borderId="0" xfId="3" applyFont="1" applyFill="1"/>
    <xf numFmtId="0" fontId="13" fillId="10" borderId="0" xfId="0" applyFont="1" applyFill="1" applyAlignment="1">
      <alignment horizontal="center"/>
    </xf>
    <xf numFmtId="14" fontId="14" fillId="8" borderId="0" xfId="0" applyNumberFormat="1" applyFont="1" applyFill="1"/>
    <xf numFmtId="0" fontId="15" fillId="8" borderId="0" xfId="0" applyFont="1" applyFill="1"/>
    <xf numFmtId="0" fontId="16" fillId="8" borderId="0" xfId="0" applyFont="1" applyFill="1"/>
    <xf numFmtId="0" fontId="14" fillId="8" borderId="0" xfId="0" applyFont="1" applyFill="1" applyAlignment="1">
      <alignment horizontal="center"/>
    </xf>
    <xf numFmtId="2" fontId="14" fillId="8" borderId="0" xfId="0" applyNumberFormat="1" applyFont="1" applyFill="1"/>
    <xf numFmtId="0" fontId="14" fillId="0" borderId="0" xfId="0" applyFont="1" applyAlignment="1">
      <alignment horizontal="center"/>
    </xf>
    <xf numFmtId="0" fontId="14" fillId="0" borderId="0" xfId="0" applyFont="1"/>
    <xf numFmtId="0" fontId="14" fillId="8" borderId="0" xfId="0" applyFont="1" applyFill="1"/>
    <xf numFmtId="14" fontId="14" fillId="0" borderId="0" xfId="0" applyNumberFormat="1" applyFont="1"/>
    <xf numFmtId="2" fontId="14" fillId="0" borderId="0" xfId="0" applyNumberFormat="1" applyFont="1"/>
    <xf numFmtId="14" fontId="14" fillId="12" borderId="0" xfId="0" applyNumberFormat="1" applyFont="1" applyFill="1"/>
    <xf numFmtId="0" fontId="15" fillId="12" borderId="0" xfId="0" applyFont="1" applyFill="1"/>
    <xf numFmtId="0" fontId="14" fillId="12" borderId="0" xfId="0" applyFont="1" applyFill="1"/>
    <xf numFmtId="0" fontId="14" fillId="12" borderId="0" xfId="0" applyFont="1" applyFill="1" applyAlignment="1">
      <alignment horizontal="center"/>
    </xf>
    <xf numFmtId="2" fontId="14" fillId="12" borderId="0" xfId="0" applyNumberFormat="1" applyFont="1" applyFill="1"/>
    <xf numFmtId="14" fontId="14" fillId="13" borderId="0" xfId="0" applyNumberFormat="1" applyFont="1" applyFill="1"/>
    <xf numFmtId="0" fontId="15" fillId="13" borderId="0" xfId="0" applyFont="1" applyFill="1"/>
    <xf numFmtId="0" fontId="14" fillId="13" borderId="0" xfId="0" applyFont="1" applyFill="1"/>
    <xf numFmtId="0" fontId="14" fillId="13" borderId="0" xfId="0" applyFont="1" applyFill="1" applyAlignment="1">
      <alignment horizontal="center"/>
    </xf>
    <xf numFmtId="2" fontId="14" fillId="13" borderId="0" xfId="0" applyNumberFormat="1" applyFont="1" applyFill="1"/>
    <xf numFmtId="0" fontId="15" fillId="0" borderId="0" xfId="0" applyFont="1"/>
    <xf numFmtId="14" fontId="14" fillId="7" borderId="0" xfId="0" applyNumberFormat="1" applyFont="1" applyFill="1"/>
    <xf numFmtId="0" fontId="15" fillId="7" borderId="0" xfId="0" applyFont="1" applyFill="1"/>
    <xf numFmtId="0" fontId="14" fillId="7" borderId="0" xfId="0" applyFont="1" applyFill="1"/>
    <xf numFmtId="0" fontId="14" fillId="7" borderId="0" xfId="0" applyFont="1" applyFill="1" applyAlignment="1">
      <alignment horizontal="center"/>
    </xf>
    <xf numFmtId="2" fontId="14" fillId="7" borderId="0" xfId="0" applyNumberFormat="1" applyFont="1" applyFill="1"/>
    <xf numFmtId="14" fontId="14" fillId="14" borderId="0" xfId="0" applyNumberFormat="1" applyFont="1" applyFill="1"/>
    <xf numFmtId="0" fontId="15" fillId="14" borderId="0" xfId="0" applyFont="1" applyFill="1"/>
    <xf numFmtId="0" fontId="14" fillId="14" borderId="0" xfId="0" applyFont="1" applyFill="1"/>
    <xf numFmtId="0" fontId="14" fillId="14" borderId="0" xfId="0" applyFont="1" applyFill="1" applyAlignment="1">
      <alignment horizontal="center"/>
    </xf>
    <xf numFmtId="2" fontId="14" fillId="14" borderId="0" xfId="0" applyNumberFormat="1" applyFont="1" applyFill="1"/>
    <xf numFmtId="0" fontId="14" fillId="0" borderId="0" xfId="0" applyFont="1" applyAlignment="1">
      <alignment horizontal="left"/>
    </xf>
    <xf numFmtId="0" fontId="14" fillId="2" borderId="0" xfId="0" applyFont="1" applyFill="1"/>
    <xf numFmtId="0" fontId="15" fillId="0" borderId="3" xfId="0" applyFont="1" applyBorder="1"/>
    <xf numFmtId="0" fontId="14" fillId="3" borderId="0" xfId="0" applyFont="1" applyFill="1" applyAlignment="1">
      <alignment horizontal="center"/>
    </xf>
    <xf numFmtId="2" fontId="14" fillId="3" borderId="0" xfId="0" applyNumberFormat="1" applyFont="1" applyFill="1"/>
    <xf numFmtId="44" fontId="14" fillId="0" borderId="0" xfId="3" applyFont="1" applyFill="1"/>
    <xf numFmtId="0" fontId="15" fillId="15" borderId="0" xfId="0" applyFont="1" applyFill="1"/>
    <xf numFmtId="0" fontId="15" fillId="0" borderId="4" xfId="0" applyFont="1" applyBorder="1"/>
    <xf numFmtId="0" fontId="14" fillId="0" borderId="4" xfId="0" applyFont="1" applyBorder="1"/>
    <xf numFmtId="0" fontId="18" fillId="16" borderId="0" xfId="0" applyFont="1" applyFill="1"/>
    <xf numFmtId="2" fontId="14" fillId="2" borderId="0" xfId="0" applyNumberFormat="1" applyFont="1" applyFill="1"/>
    <xf numFmtId="0" fontId="19" fillId="0" borderId="0" xfId="0" applyFont="1"/>
    <xf numFmtId="0" fontId="20" fillId="3" borderId="0" xfId="0" applyFont="1" applyFill="1" applyAlignment="1">
      <alignment horizontal="center"/>
    </xf>
    <xf numFmtId="2" fontId="20" fillId="3" borderId="0" xfId="0" applyNumberFormat="1" applyFont="1" applyFill="1"/>
    <xf numFmtId="0" fontId="20" fillId="3" borderId="0" xfId="0" applyFont="1" applyFill="1" applyAlignment="1">
      <alignment horizontal="left"/>
    </xf>
    <xf numFmtId="0" fontId="20" fillId="0" borderId="0" xfId="0" applyFont="1"/>
    <xf numFmtId="2" fontId="19" fillId="0" borderId="0" xfId="0" applyNumberFormat="1" applyFont="1"/>
    <xf numFmtId="0" fontId="21" fillId="0" borderId="0" xfId="1" applyFont="1" applyFill="1"/>
    <xf numFmtId="0" fontId="14" fillId="3" borderId="0" xfId="0" applyFont="1" applyFill="1"/>
    <xf numFmtId="14" fontId="14" fillId="3" borderId="0" xfId="0" applyNumberFormat="1" applyFont="1" applyFill="1"/>
    <xf numFmtId="0" fontId="14" fillId="6" borderId="0" xfId="0" applyFont="1" applyFill="1"/>
    <xf numFmtId="14" fontId="14" fillId="6" borderId="0" xfId="0" applyNumberFormat="1" applyFont="1" applyFill="1"/>
    <xf numFmtId="2" fontId="14" fillId="6" borderId="0" xfId="0" applyNumberFormat="1" applyFont="1" applyFill="1"/>
    <xf numFmtId="0" fontId="22" fillId="0" borderId="0" xfId="0" applyFont="1"/>
    <xf numFmtId="0" fontId="15" fillId="17" borderId="0" xfId="0" applyFont="1" applyFill="1"/>
    <xf numFmtId="0" fontId="14" fillId="17" borderId="0" xfId="0" applyFont="1" applyFill="1"/>
    <xf numFmtId="0" fontId="14" fillId="17" borderId="0" xfId="0" applyFont="1" applyFill="1" applyAlignment="1">
      <alignment horizontal="center"/>
    </xf>
    <xf numFmtId="2" fontId="14" fillId="17" borderId="0" xfId="0" applyNumberFormat="1" applyFont="1" applyFill="1"/>
    <xf numFmtId="0" fontId="23" fillId="0" borderId="0" xfId="4"/>
    <xf numFmtId="0" fontId="14" fillId="18" borderId="0" xfId="0" applyFont="1" applyFill="1"/>
    <xf numFmtId="14" fontId="14" fillId="18" borderId="0" xfId="0" applyNumberFormat="1" applyFont="1" applyFill="1"/>
    <xf numFmtId="0" fontId="24" fillId="19" borderId="0" xfId="0" applyFont="1" applyFill="1"/>
    <xf numFmtId="0" fontId="17" fillId="19" borderId="0" xfId="0" applyFont="1" applyFill="1"/>
    <xf numFmtId="0" fontId="17" fillId="19" borderId="0" xfId="0" applyFont="1" applyFill="1" applyAlignment="1">
      <alignment horizontal="center"/>
    </xf>
    <xf numFmtId="2" fontId="17" fillId="19" borderId="0" xfId="0" applyNumberFormat="1" applyFont="1" applyFill="1"/>
    <xf numFmtId="0" fontId="26" fillId="0" borderId="0" xfId="0" applyFont="1"/>
    <xf numFmtId="0" fontId="27" fillId="0" borderId="0" xfId="0" applyFont="1"/>
    <xf numFmtId="0" fontId="15" fillId="5" borderId="0" xfId="0" applyFont="1" applyFill="1"/>
    <xf numFmtId="0" fontId="14" fillId="5" borderId="0" xfId="0" applyFont="1" applyFill="1"/>
    <xf numFmtId="0" fontId="15" fillId="20" borderId="0" xfId="0" applyFont="1" applyFill="1"/>
    <xf numFmtId="0" fontId="14" fillId="20" borderId="0" xfId="0" applyFont="1" applyFill="1"/>
    <xf numFmtId="14" fontId="14" fillId="10" borderId="0" xfId="0" applyNumberFormat="1" applyFont="1" applyFill="1"/>
    <xf numFmtId="0" fontId="14" fillId="21" borderId="0" xfId="0" applyFont="1" applyFill="1"/>
    <xf numFmtId="0" fontId="14" fillId="21" borderId="0" xfId="0" applyFont="1" applyFill="1" applyAlignment="1">
      <alignment horizontal="left"/>
    </xf>
    <xf numFmtId="0" fontId="0" fillId="21" borderId="0" xfId="0" applyFill="1"/>
    <xf numFmtId="0" fontId="19" fillId="0" borderId="0" xfId="0" applyFont="1" applyAlignment="1">
      <alignment horizontal="right"/>
    </xf>
    <xf numFmtId="0" fontId="14" fillId="21" borderId="0" xfId="0" applyFont="1" applyFill="1" applyAlignment="1">
      <alignment horizontal="center"/>
    </xf>
    <xf numFmtId="2" fontId="14" fillId="9" borderId="0" xfId="0" applyNumberFormat="1" applyFont="1" applyFill="1"/>
    <xf numFmtId="44" fontId="14" fillId="9" borderId="0" xfId="3" applyFont="1" applyFill="1" applyAlignment="1">
      <alignment horizontal="center"/>
    </xf>
    <xf numFmtId="2" fontId="14" fillId="9" borderId="0" xfId="3" applyNumberFormat="1" applyFont="1" applyFill="1" applyAlignment="1">
      <alignment horizontal="center"/>
    </xf>
    <xf numFmtId="44" fontId="14" fillId="9" borderId="0" xfId="3" applyFont="1" applyFill="1"/>
    <xf numFmtId="2" fontId="14" fillId="9" borderId="0" xfId="3" applyNumberFormat="1" applyFont="1" applyFill="1"/>
    <xf numFmtId="0" fontId="14" fillId="9" borderId="4" xfId="0" applyFont="1" applyFill="1" applyBorder="1"/>
    <xf numFmtId="2" fontId="14" fillId="9" borderId="4" xfId="0" applyNumberFormat="1" applyFont="1" applyFill="1" applyBorder="1"/>
    <xf numFmtId="0" fontId="14" fillId="22" borderId="0" xfId="0" applyFont="1" applyFill="1"/>
    <xf numFmtId="2" fontId="14" fillId="22" borderId="0" xfId="0" applyNumberFormat="1" applyFont="1" applyFill="1"/>
    <xf numFmtId="0" fontId="15" fillId="6" borderId="0" xfId="0" applyFont="1" applyFill="1"/>
    <xf numFmtId="0" fontId="14" fillId="6" borderId="0" xfId="0" applyFont="1" applyFill="1" applyAlignment="1">
      <alignment horizontal="center"/>
    </xf>
    <xf numFmtId="0" fontId="19" fillId="6" borderId="0" xfId="0" applyFont="1" applyFill="1"/>
    <xf numFmtId="0" fontId="0" fillId="6" borderId="0" xfId="0" applyFill="1"/>
    <xf numFmtId="0" fontId="14" fillId="0" borderId="3" xfId="0" applyFont="1" applyBorder="1"/>
    <xf numFmtId="0" fontId="4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4" fontId="9" fillId="11" borderId="0" xfId="3" applyFont="1" applyFill="1" applyAlignment="1">
      <alignment horizontal="center" vertical="center"/>
    </xf>
    <xf numFmtId="0" fontId="10" fillId="10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</cellXfs>
  <cellStyles count="5">
    <cellStyle name="Currency" xfId="3" builtinId="4"/>
    <cellStyle name="Good" xfId="1" builtinId="26"/>
    <cellStyle name="Hyperlink" xfId="4" builtinId="8"/>
    <cellStyle name="Normal" xfId="0" builtinId="0"/>
    <cellStyle name="Normal 2 2 2 2" xfId="2" xr:uid="{DFAC6238-AED7-4DC1-A6BF-AE9B5CD1459B}"/>
  </cellStyles>
  <dxfs count="0"/>
  <tableStyles count="0" defaultTableStyle="TableStyleMedium2" defaultPivotStyle="PivotStyleLight16"/>
  <colors>
    <mruColors>
      <color rgb="FFFF99FF"/>
      <color rgb="FFD6009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20"/>
  <sheetViews>
    <sheetView tabSelected="1" zoomScale="40" zoomScaleNormal="40" workbookViewId="0">
      <pane ySplit="8" topLeftCell="A359" activePane="bottomLeft" state="frozen"/>
      <selection activeCell="D1" sqref="D1"/>
      <selection pane="bottomLeft" activeCell="F20" sqref="F20"/>
    </sheetView>
  </sheetViews>
  <sheetFormatPr defaultRowHeight="14.5" x14ac:dyDescent="0.35"/>
  <cols>
    <col min="1" max="1" width="10.26953125" customWidth="1"/>
    <col min="2" max="2" width="20.81640625" bestFit="1" customWidth="1"/>
    <col min="3" max="3" width="76" customWidth="1"/>
    <col min="4" max="4" width="15.26953125" customWidth="1"/>
    <col min="5" max="5" width="17.26953125" customWidth="1"/>
    <col min="6" max="7" width="25.81640625" customWidth="1"/>
    <col min="8" max="8" width="31.54296875" customWidth="1"/>
    <col min="9" max="9" width="43.7265625" style="7" customWidth="1"/>
    <col min="10" max="10" width="10.26953125" bestFit="1" customWidth="1"/>
    <col min="11" max="11" width="24" bestFit="1" customWidth="1"/>
    <col min="12" max="12" width="13.81640625" customWidth="1"/>
    <col min="13" max="13" width="18" bestFit="1" customWidth="1"/>
    <col min="14" max="14" width="21.54296875" customWidth="1"/>
    <col min="15" max="15" width="22.54296875" customWidth="1"/>
    <col min="16" max="16" width="23" customWidth="1"/>
    <col min="17" max="17" width="17.453125" customWidth="1"/>
    <col min="18" max="18" width="13" customWidth="1"/>
    <col min="19" max="19" width="13.26953125" customWidth="1"/>
    <col min="20" max="20" width="12.81640625" customWidth="1"/>
    <col min="21" max="21" width="15" bestFit="1" customWidth="1"/>
    <col min="22" max="22" width="14.26953125" customWidth="1"/>
    <col min="23" max="23" width="12.453125" customWidth="1"/>
    <col min="24" max="24" width="16.7265625" customWidth="1"/>
    <col min="25" max="25" width="13" customWidth="1"/>
    <col min="26" max="26" width="11.26953125" customWidth="1"/>
  </cols>
  <sheetData>
    <row r="1" spans="1:21" ht="15" thickBot="1" x14ac:dyDescent="0.4"/>
    <row r="2" spans="1:21" ht="21.5" thickBot="1" x14ac:dyDescent="0.55000000000000004">
      <c r="C2" s="2" t="s">
        <v>12</v>
      </c>
      <c r="D2" s="9"/>
      <c r="E2" s="3">
        <v>46026</v>
      </c>
      <c r="F2" s="3"/>
    </row>
    <row r="3" spans="1:21" ht="18.5" x14ac:dyDescent="0.45">
      <c r="I3" s="59"/>
      <c r="J3" s="54" t="s">
        <v>9</v>
      </c>
      <c r="K3" s="54" t="s">
        <v>10</v>
      </c>
      <c r="L3" s="54" t="s">
        <v>21</v>
      </c>
      <c r="M3" s="54" t="s">
        <v>22</v>
      </c>
      <c r="N3" s="54" t="s">
        <v>23</v>
      </c>
      <c r="O3" s="54" t="s">
        <v>15</v>
      </c>
      <c r="P3" s="54" t="s">
        <v>18</v>
      </c>
      <c r="Q3" s="54"/>
      <c r="R3" s="54"/>
      <c r="S3" s="54"/>
    </row>
    <row r="4" spans="1:21" ht="18.5" x14ac:dyDescent="0.45">
      <c r="B4">
        <v>2359</v>
      </c>
      <c r="C4" s="104" t="s">
        <v>4</v>
      </c>
      <c r="D4" s="104"/>
      <c r="E4" s="104"/>
      <c r="F4" s="104"/>
      <c r="I4" s="59" t="s">
        <v>8</v>
      </c>
      <c r="J4" s="54">
        <v>118.4</v>
      </c>
      <c r="K4" s="54">
        <f>+J4*7.45</f>
        <v>882.08</v>
      </c>
      <c r="L4" s="54">
        <f>+K4*0.916</f>
        <v>807.9852800000001</v>
      </c>
      <c r="M4" s="54">
        <v>1.1599999999999999</v>
      </c>
      <c r="N4" s="54">
        <f>+M4*L4</f>
        <v>937.26292480000006</v>
      </c>
      <c r="O4" s="54">
        <v>55.66</v>
      </c>
      <c r="P4" s="54">
        <f>+O4*N4</f>
        <v>52168.054394368002</v>
      </c>
      <c r="Q4" s="54">
        <f>+O4*L4</f>
        <v>44972.460684800004</v>
      </c>
      <c r="R4" s="60">
        <f>+P4-Q4</f>
        <v>7195.5937095679983</v>
      </c>
      <c r="S4" s="54"/>
      <c r="U4">
        <v>7000</v>
      </c>
    </row>
    <row r="5" spans="1:21" ht="18.5" x14ac:dyDescent="0.45">
      <c r="C5" s="104"/>
      <c r="D5" s="104"/>
      <c r="E5" s="104"/>
      <c r="F5" s="104"/>
      <c r="I5" s="59" t="s">
        <v>11</v>
      </c>
      <c r="J5" s="54">
        <v>1.96</v>
      </c>
      <c r="K5" s="54">
        <f>+J5*7.45</f>
        <v>14.602</v>
      </c>
      <c r="L5" s="54">
        <f>+L4*O4</f>
        <v>44972.460684800004</v>
      </c>
      <c r="M5" s="54">
        <f>+P4-L5</f>
        <v>7195.5937095679983</v>
      </c>
      <c r="N5" s="54"/>
      <c r="O5" s="54"/>
      <c r="P5" s="54"/>
      <c r="Q5" s="54"/>
      <c r="R5" s="60"/>
      <c r="S5" s="54"/>
      <c r="U5">
        <f>+U4/20.02</f>
        <v>349.65034965034965</v>
      </c>
    </row>
    <row r="6" spans="1:21" ht="18.5" x14ac:dyDescent="0.45">
      <c r="C6" s="104"/>
      <c r="D6" s="104"/>
      <c r="E6" s="104"/>
      <c r="F6" s="104"/>
      <c r="I6" s="59" t="s">
        <v>66</v>
      </c>
      <c r="J6" s="54">
        <v>56.9</v>
      </c>
      <c r="K6" s="54">
        <f>+J6*7.45</f>
        <v>423.90499999999997</v>
      </c>
      <c r="L6" s="54"/>
      <c r="M6" s="54"/>
      <c r="N6" s="54"/>
      <c r="O6" s="54"/>
      <c r="P6" s="54"/>
      <c r="Q6" s="54"/>
      <c r="R6" s="60"/>
      <c r="S6" s="54"/>
    </row>
    <row r="7" spans="1:21" ht="18.5" x14ac:dyDescent="0.45">
      <c r="C7" s="104"/>
      <c r="D7" s="104"/>
      <c r="E7" s="104"/>
      <c r="F7" s="104"/>
      <c r="I7" s="59" t="s">
        <v>75</v>
      </c>
      <c r="J7" s="54">
        <v>45.06</v>
      </c>
      <c r="K7" s="54">
        <f>+J7*7.45</f>
        <v>335.697</v>
      </c>
      <c r="L7" s="54"/>
      <c r="M7" s="54"/>
      <c r="N7" s="54"/>
      <c r="O7" s="54"/>
      <c r="P7" s="54"/>
      <c r="Q7" s="54"/>
      <c r="R7" s="60"/>
      <c r="S7" s="54"/>
    </row>
    <row r="8" spans="1:21" ht="23.5" x14ac:dyDescent="0.55000000000000004">
      <c r="A8" s="55" t="s">
        <v>13</v>
      </c>
      <c r="B8" s="55" t="s">
        <v>14</v>
      </c>
      <c r="C8" s="55" t="s">
        <v>344</v>
      </c>
      <c r="D8" s="55" t="s">
        <v>1</v>
      </c>
      <c r="E8" s="55" t="s">
        <v>345</v>
      </c>
      <c r="F8" s="55" t="s">
        <v>1</v>
      </c>
      <c r="G8" s="55" t="s">
        <v>346</v>
      </c>
      <c r="H8" s="55" t="s">
        <v>347</v>
      </c>
      <c r="I8" s="56" t="s">
        <v>348</v>
      </c>
      <c r="J8" s="57" t="s">
        <v>80</v>
      </c>
      <c r="K8" s="58"/>
      <c r="N8" s="54" t="s">
        <v>349</v>
      </c>
      <c r="O8" s="54" t="s">
        <v>350</v>
      </c>
      <c r="P8" s="54" t="s">
        <v>351</v>
      </c>
      <c r="Q8" s="54" t="s">
        <v>352</v>
      </c>
    </row>
    <row r="10" spans="1:21" ht="28.5" x14ac:dyDescent="0.65">
      <c r="A10" s="107" t="s">
        <v>27</v>
      </c>
      <c r="B10" s="107"/>
      <c r="C10" s="8"/>
      <c r="D10" s="8"/>
      <c r="E10" s="8"/>
      <c r="F10" s="8"/>
      <c r="G10" s="8"/>
      <c r="H10" s="1"/>
    </row>
    <row r="11" spans="1:21" ht="26" x14ac:dyDescent="0.6">
      <c r="A11" s="11"/>
      <c r="B11" s="12">
        <v>44391</v>
      </c>
      <c r="C11" s="13" t="s">
        <v>28</v>
      </c>
      <c r="D11" s="14">
        <v>1</v>
      </c>
      <c r="E11" s="14">
        <v>3</v>
      </c>
      <c r="F11" s="15">
        <f t="shared" ref="F11:F19" si="0">+E11*D11</f>
        <v>3</v>
      </c>
      <c r="G11" s="15">
        <f>0.9999*F11</f>
        <v>2.9996999999999998</v>
      </c>
      <c r="H11" s="15"/>
      <c r="I11" s="16">
        <f t="shared" ref="I11:I19" si="1">+$K$4*G11</f>
        <v>2645.9753759999999</v>
      </c>
      <c r="J11" s="89"/>
      <c r="K11" s="18"/>
    </row>
    <row r="12" spans="1:21" ht="26" x14ac:dyDescent="0.6">
      <c r="A12" s="18"/>
      <c r="B12" s="12">
        <v>44391</v>
      </c>
      <c r="C12" s="13" t="s">
        <v>28</v>
      </c>
      <c r="D12" s="19">
        <v>2.5</v>
      </c>
      <c r="E12" s="19">
        <v>3</v>
      </c>
      <c r="F12" s="15">
        <f t="shared" si="0"/>
        <v>7.5</v>
      </c>
      <c r="G12" s="15">
        <f>0.9999*F12</f>
        <v>7.49925</v>
      </c>
      <c r="H12" s="15"/>
      <c r="I12" s="16">
        <f t="shared" si="1"/>
        <v>6614.9384399999999</v>
      </c>
      <c r="J12" s="89"/>
      <c r="K12" s="18"/>
    </row>
    <row r="13" spans="1:21" ht="26" x14ac:dyDescent="0.6">
      <c r="A13" s="18"/>
      <c r="B13" s="12">
        <v>44391</v>
      </c>
      <c r="C13" s="13" t="s">
        <v>28</v>
      </c>
      <c r="D13" s="19">
        <v>5</v>
      </c>
      <c r="E13" s="19">
        <v>0</v>
      </c>
      <c r="F13" s="15">
        <f t="shared" si="0"/>
        <v>0</v>
      </c>
      <c r="G13" s="15">
        <f>0.9999*F13</f>
        <v>0</v>
      </c>
      <c r="H13" s="15"/>
      <c r="I13" s="16">
        <f t="shared" si="1"/>
        <v>0</v>
      </c>
      <c r="J13" s="89"/>
      <c r="K13" s="18"/>
    </row>
    <row r="14" spans="1:21" ht="26" x14ac:dyDescent="0.6">
      <c r="A14" s="18"/>
      <c r="B14" s="12">
        <v>44391</v>
      </c>
      <c r="C14" s="13" t="s">
        <v>28</v>
      </c>
      <c r="D14" s="19">
        <v>10</v>
      </c>
      <c r="E14" s="19">
        <v>0</v>
      </c>
      <c r="F14" s="15">
        <f t="shared" si="0"/>
        <v>0</v>
      </c>
      <c r="G14" s="15">
        <f t="shared" ref="G14:G103" si="2">0.9999*F14</f>
        <v>0</v>
      </c>
      <c r="H14" s="15"/>
      <c r="I14" s="16">
        <f t="shared" si="1"/>
        <v>0</v>
      </c>
      <c r="J14" s="17"/>
      <c r="K14" s="18"/>
    </row>
    <row r="15" spans="1:21" ht="26" x14ac:dyDescent="0.6">
      <c r="A15" s="18"/>
      <c r="B15" s="12">
        <v>44391</v>
      </c>
      <c r="C15" s="13" t="s">
        <v>28</v>
      </c>
      <c r="D15" s="19">
        <v>20</v>
      </c>
      <c r="E15" s="19">
        <v>0</v>
      </c>
      <c r="F15" s="15">
        <f t="shared" si="0"/>
        <v>0</v>
      </c>
      <c r="G15" s="15">
        <f t="shared" si="2"/>
        <v>0</v>
      </c>
      <c r="H15" s="15"/>
      <c r="I15" s="16">
        <f t="shared" si="1"/>
        <v>0</v>
      </c>
      <c r="J15" s="17"/>
      <c r="K15" s="18"/>
    </row>
    <row r="16" spans="1:21" ht="26" x14ac:dyDescent="0.6">
      <c r="A16" s="18"/>
      <c r="B16" s="12">
        <v>44391</v>
      </c>
      <c r="C16" s="13" t="s">
        <v>28</v>
      </c>
      <c r="D16" s="19">
        <v>31.1</v>
      </c>
      <c r="E16" s="19">
        <v>0</v>
      </c>
      <c r="F16" s="15">
        <f t="shared" si="0"/>
        <v>0</v>
      </c>
      <c r="G16" s="15">
        <f t="shared" si="2"/>
        <v>0</v>
      </c>
      <c r="H16" s="15"/>
      <c r="I16" s="16">
        <f t="shared" si="1"/>
        <v>0</v>
      </c>
      <c r="J16" s="17"/>
      <c r="K16" s="18"/>
    </row>
    <row r="17" spans="1:11" ht="26" x14ac:dyDescent="0.6">
      <c r="A17" s="18"/>
      <c r="B17" s="12">
        <v>44391</v>
      </c>
      <c r="C17" s="13" t="s">
        <v>28</v>
      </c>
      <c r="D17" s="19">
        <v>50</v>
      </c>
      <c r="E17" s="19">
        <v>0</v>
      </c>
      <c r="F17" s="15">
        <f t="shared" si="0"/>
        <v>0</v>
      </c>
      <c r="G17" s="15">
        <f t="shared" si="2"/>
        <v>0</v>
      </c>
      <c r="H17" s="15"/>
      <c r="I17" s="16">
        <f t="shared" si="1"/>
        <v>0</v>
      </c>
      <c r="J17" s="17"/>
      <c r="K17" s="18"/>
    </row>
    <row r="18" spans="1:11" ht="26" x14ac:dyDescent="0.6">
      <c r="A18" s="18"/>
      <c r="B18" s="12">
        <v>44391</v>
      </c>
      <c r="C18" s="13" t="s">
        <v>29</v>
      </c>
      <c r="D18" s="19">
        <v>100</v>
      </c>
      <c r="E18" s="19"/>
      <c r="F18" s="15">
        <f t="shared" si="0"/>
        <v>0</v>
      </c>
      <c r="G18" s="15">
        <f t="shared" si="2"/>
        <v>0</v>
      </c>
      <c r="H18" s="15"/>
      <c r="I18" s="16">
        <f t="shared" si="1"/>
        <v>0</v>
      </c>
      <c r="J18" s="17"/>
      <c r="K18" s="18"/>
    </row>
    <row r="19" spans="1:11" ht="26" x14ac:dyDescent="0.6">
      <c r="A19" s="18"/>
      <c r="B19" s="12">
        <v>44391</v>
      </c>
      <c r="C19" s="13" t="s">
        <v>30</v>
      </c>
      <c r="D19" s="19">
        <v>100</v>
      </c>
      <c r="E19" s="19">
        <v>0</v>
      </c>
      <c r="F19" s="15">
        <f t="shared" si="0"/>
        <v>0</v>
      </c>
      <c r="G19" s="15">
        <f t="shared" si="2"/>
        <v>0</v>
      </c>
      <c r="H19" s="15"/>
      <c r="I19" s="16">
        <f t="shared" si="1"/>
        <v>0</v>
      </c>
      <c r="J19" s="17"/>
      <c r="K19" s="18"/>
    </row>
    <row r="20" spans="1:11" ht="26" x14ac:dyDescent="0.6">
      <c r="A20" s="18"/>
      <c r="B20" s="20"/>
      <c r="C20" s="18"/>
      <c r="D20" s="18"/>
      <c r="E20" s="18"/>
      <c r="F20" s="17"/>
      <c r="G20" s="17"/>
      <c r="H20" s="17"/>
      <c r="I20" s="21"/>
      <c r="J20" s="17"/>
      <c r="K20" s="18"/>
    </row>
    <row r="21" spans="1:11" ht="26" x14ac:dyDescent="0.6">
      <c r="A21" s="18"/>
      <c r="B21" s="20"/>
      <c r="C21" s="18"/>
      <c r="D21" s="18"/>
      <c r="E21" s="18"/>
      <c r="F21" s="17"/>
      <c r="G21" s="17"/>
      <c r="H21" s="17"/>
      <c r="I21" s="21"/>
      <c r="J21" s="17"/>
      <c r="K21" s="18"/>
    </row>
    <row r="22" spans="1:11" ht="26" x14ac:dyDescent="0.6">
      <c r="A22" s="18"/>
      <c r="B22" s="22">
        <v>44391</v>
      </c>
      <c r="C22" s="23" t="s">
        <v>20</v>
      </c>
      <c r="D22" s="24">
        <v>1</v>
      </c>
      <c r="E22" s="24"/>
      <c r="F22" s="25"/>
      <c r="G22" s="25">
        <f t="shared" ref="G22:G23" si="3">0.9999*F22</f>
        <v>0</v>
      </c>
      <c r="H22" s="25"/>
      <c r="I22" s="26">
        <f t="shared" ref="I22:I23" si="4">+$K$4*G22</f>
        <v>0</v>
      </c>
      <c r="J22" s="89"/>
      <c r="K22" s="18"/>
    </row>
    <row r="23" spans="1:11" ht="26" x14ac:dyDescent="0.6">
      <c r="A23" s="18"/>
      <c r="B23" s="22">
        <v>44391</v>
      </c>
      <c r="C23" s="23" t="s">
        <v>20</v>
      </c>
      <c r="D23" s="24">
        <v>2</v>
      </c>
      <c r="E23" s="24"/>
      <c r="F23" s="25"/>
      <c r="G23" s="25">
        <f t="shared" si="3"/>
        <v>0</v>
      </c>
      <c r="H23" s="25"/>
      <c r="I23" s="26">
        <f t="shared" si="4"/>
        <v>0</v>
      </c>
      <c r="J23" s="89"/>
      <c r="K23" s="18"/>
    </row>
    <row r="24" spans="1:11" ht="26" x14ac:dyDescent="0.6">
      <c r="A24" s="18"/>
      <c r="B24" s="22">
        <v>44391</v>
      </c>
      <c r="C24" s="23" t="s">
        <v>20</v>
      </c>
      <c r="D24" s="24">
        <v>5</v>
      </c>
      <c r="E24" s="24"/>
      <c r="F24" s="25"/>
      <c r="G24" s="25">
        <f t="shared" si="2"/>
        <v>0</v>
      </c>
      <c r="H24" s="25"/>
      <c r="I24" s="26">
        <f t="shared" ref="I24:I30" si="5">+$K$4*G24</f>
        <v>0</v>
      </c>
      <c r="J24" s="89"/>
      <c r="K24" s="18"/>
    </row>
    <row r="25" spans="1:11" ht="26" x14ac:dyDescent="0.6">
      <c r="A25" s="18"/>
      <c r="B25" s="22">
        <v>44391</v>
      </c>
      <c r="C25" s="23" t="s">
        <v>20</v>
      </c>
      <c r="D25" s="24">
        <v>10</v>
      </c>
      <c r="E25" s="24">
        <v>0</v>
      </c>
      <c r="F25" s="25">
        <f t="shared" ref="F25:F30" si="6">+E25*D25</f>
        <v>0</v>
      </c>
      <c r="G25" s="25">
        <f t="shared" si="2"/>
        <v>0</v>
      </c>
      <c r="H25" s="25"/>
      <c r="I25" s="26">
        <f t="shared" si="5"/>
        <v>0</v>
      </c>
      <c r="J25" s="89"/>
      <c r="K25" s="18"/>
    </row>
    <row r="26" spans="1:11" ht="26" x14ac:dyDescent="0.6">
      <c r="A26" s="18"/>
      <c r="B26" s="22">
        <v>44391</v>
      </c>
      <c r="C26" s="23" t="s">
        <v>20</v>
      </c>
      <c r="D26" s="24">
        <v>20</v>
      </c>
      <c r="E26" s="24">
        <v>0</v>
      </c>
      <c r="F26" s="25">
        <f t="shared" si="6"/>
        <v>0</v>
      </c>
      <c r="G26" s="25">
        <f t="shared" si="2"/>
        <v>0</v>
      </c>
      <c r="H26" s="25"/>
      <c r="I26" s="26">
        <f t="shared" si="5"/>
        <v>0</v>
      </c>
      <c r="J26" s="89"/>
      <c r="K26" s="18"/>
    </row>
    <row r="27" spans="1:11" ht="26" x14ac:dyDescent="0.6">
      <c r="A27" s="18"/>
      <c r="B27" s="22">
        <v>44391</v>
      </c>
      <c r="C27" s="23" t="s">
        <v>20</v>
      </c>
      <c r="D27" s="24">
        <v>31.1</v>
      </c>
      <c r="E27" s="24">
        <v>0</v>
      </c>
      <c r="F27" s="25">
        <f t="shared" si="6"/>
        <v>0</v>
      </c>
      <c r="G27" s="25">
        <f t="shared" si="2"/>
        <v>0</v>
      </c>
      <c r="H27" s="25"/>
      <c r="I27" s="26">
        <f t="shared" si="5"/>
        <v>0</v>
      </c>
      <c r="J27" s="17"/>
      <c r="K27" s="18"/>
    </row>
    <row r="28" spans="1:11" ht="26" x14ac:dyDescent="0.6">
      <c r="A28" s="18"/>
      <c r="B28" s="22">
        <v>44391</v>
      </c>
      <c r="C28" s="23" t="s">
        <v>20</v>
      </c>
      <c r="D28" s="24">
        <v>50</v>
      </c>
      <c r="E28" s="24">
        <v>0</v>
      </c>
      <c r="F28" s="25">
        <f t="shared" si="6"/>
        <v>0</v>
      </c>
      <c r="G28" s="25">
        <f t="shared" si="2"/>
        <v>0</v>
      </c>
      <c r="H28" s="25"/>
      <c r="I28" s="26">
        <f t="shared" si="5"/>
        <v>0</v>
      </c>
      <c r="J28" s="89"/>
      <c r="K28" s="18"/>
    </row>
    <row r="29" spans="1:11" ht="26" x14ac:dyDescent="0.6">
      <c r="A29" s="18"/>
      <c r="B29" s="22">
        <v>44391</v>
      </c>
      <c r="C29" s="23" t="s">
        <v>31</v>
      </c>
      <c r="D29" s="24">
        <v>100</v>
      </c>
      <c r="E29" s="24">
        <v>0</v>
      </c>
      <c r="F29" s="25">
        <f t="shared" si="6"/>
        <v>0</v>
      </c>
      <c r="G29" s="25">
        <f t="shared" si="2"/>
        <v>0</v>
      </c>
      <c r="H29" s="25"/>
      <c r="I29" s="26">
        <f t="shared" si="5"/>
        <v>0</v>
      </c>
      <c r="J29" s="17"/>
      <c r="K29" s="18"/>
    </row>
    <row r="30" spans="1:11" ht="26" x14ac:dyDescent="0.6">
      <c r="A30" s="18"/>
      <c r="B30" s="22">
        <v>44391</v>
      </c>
      <c r="C30" s="23" t="s">
        <v>32</v>
      </c>
      <c r="D30" s="24">
        <v>100</v>
      </c>
      <c r="E30" s="24">
        <v>0</v>
      </c>
      <c r="F30" s="25">
        <f t="shared" si="6"/>
        <v>0</v>
      </c>
      <c r="G30" s="25">
        <f t="shared" si="2"/>
        <v>0</v>
      </c>
      <c r="H30" s="25"/>
      <c r="I30" s="26">
        <f t="shared" si="5"/>
        <v>0</v>
      </c>
      <c r="J30" s="17"/>
      <c r="K30" s="18"/>
    </row>
    <row r="31" spans="1:11" ht="26" x14ac:dyDescent="0.6">
      <c r="A31" s="18"/>
      <c r="B31" s="20"/>
      <c r="C31" s="18"/>
      <c r="D31" s="18"/>
      <c r="E31" s="18"/>
      <c r="F31" s="17"/>
      <c r="G31" s="17"/>
      <c r="H31" s="17"/>
      <c r="I31" s="21"/>
      <c r="J31" s="17"/>
      <c r="K31" s="18"/>
    </row>
    <row r="32" spans="1:11" ht="26" x14ac:dyDescent="0.6">
      <c r="A32" s="18"/>
      <c r="B32" s="27">
        <v>44391</v>
      </c>
      <c r="C32" s="28" t="s">
        <v>33</v>
      </c>
      <c r="D32" s="29">
        <v>1</v>
      </c>
      <c r="E32" s="29"/>
      <c r="F32" s="30"/>
      <c r="G32" s="30">
        <f t="shared" si="2"/>
        <v>0</v>
      </c>
      <c r="H32" s="30"/>
      <c r="I32" s="31">
        <f t="shared" ref="I32:I40" si="7">+$K$4*G32</f>
        <v>0</v>
      </c>
      <c r="J32" s="89"/>
      <c r="K32" s="18"/>
    </row>
    <row r="33" spans="1:11" ht="26" x14ac:dyDescent="0.6">
      <c r="A33" s="18"/>
      <c r="B33" s="27">
        <v>44391</v>
      </c>
      <c r="C33" s="28" t="s">
        <v>33</v>
      </c>
      <c r="D33" s="29">
        <v>2.5</v>
      </c>
      <c r="E33" s="29"/>
      <c r="F33" s="30"/>
      <c r="G33" s="30">
        <f t="shared" si="2"/>
        <v>0</v>
      </c>
      <c r="H33" s="30"/>
      <c r="I33" s="31">
        <f t="shared" si="7"/>
        <v>0</v>
      </c>
      <c r="J33" s="89"/>
      <c r="K33" s="18"/>
    </row>
    <row r="34" spans="1:11" ht="26" x14ac:dyDescent="0.6">
      <c r="A34" s="18"/>
      <c r="B34" s="27">
        <v>44391</v>
      </c>
      <c r="C34" s="28" t="s">
        <v>33</v>
      </c>
      <c r="D34" s="29">
        <v>5</v>
      </c>
      <c r="E34" s="29">
        <v>0</v>
      </c>
      <c r="F34" s="30">
        <f t="shared" ref="F34:F40" si="8">+E34*D34</f>
        <v>0</v>
      </c>
      <c r="G34" s="30">
        <f t="shared" si="2"/>
        <v>0</v>
      </c>
      <c r="H34" s="30"/>
      <c r="I34" s="31">
        <f t="shared" si="7"/>
        <v>0</v>
      </c>
      <c r="J34" s="17"/>
      <c r="K34" s="18"/>
    </row>
    <row r="35" spans="1:11" ht="26" x14ac:dyDescent="0.6">
      <c r="A35" s="18"/>
      <c r="B35" s="27">
        <v>44391</v>
      </c>
      <c r="C35" s="28" t="s">
        <v>33</v>
      </c>
      <c r="D35" s="29">
        <v>10</v>
      </c>
      <c r="E35" s="29">
        <v>0</v>
      </c>
      <c r="F35" s="30">
        <f t="shared" si="8"/>
        <v>0</v>
      </c>
      <c r="G35" s="30">
        <f t="shared" si="2"/>
        <v>0</v>
      </c>
      <c r="H35" s="30"/>
      <c r="I35" s="31">
        <f t="shared" si="7"/>
        <v>0</v>
      </c>
      <c r="J35" s="17"/>
      <c r="K35" s="18"/>
    </row>
    <row r="36" spans="1:11" ht="26" x14ac:dyDescent="0.6">
      <c r="A36" s="18"/>
      <c r="B36" s="27">
        <v>44391</v>
      </c>
      <c r="C36" s="28" t="s">
        <v>33</v>
      </c>
      <c r="D36" s="29">
        <v>0</v>
      </c>
      <c r="E36" s="29">
        <v>0</v>
      </c>
      <c r="F36" s="30">
        <f t="shared" si="8"/>
        <v>0</v>
      </c>
      <c r="G36" s="30">
        <f t="shared" si="2"/>
        <v>0</v>
      </c>
      <c r="H36" s="30"/>
      <c r="I36" s="31">
        <f t="shared" si="7"/>
        <v>0</v>
      </c>
      <c r="J36" s="17"/>
      <c r="K36" s="18"/>
    </row>
    <row r="37" spans="1:11" ht="26" x14ac:dyDescent="0.6">
      <c r="A37" s="18"/>
      <c r="B37" s="27">
        <v>44391</v>
      </c>
      <c r="C37" s="28" t="s">
        <v>33</v>
      </c>
      <c r="D37" s="29">
        <v>31.1</v>
      </c>
      <c r="E37" s="29"/>
      <c r="F37" s="30">
        <f t="shared" si="8"/>
        <v>0</v>
      </c>
      <c r="G37" s="30">
        <f t="shared" si="2"/>
        <v>0</v>
      </c>
      <c r="H37" s="30"/>
      <c r="I37" s="31">
        <f t="shared" si="7"/>
        <v>0</v>
      </c>
      <c r="J37" s="89"/>
      <c r="K37" s="18"/>
    </row>
    <row r="38" spans="1:11" ht="26" x14ac:dyDescent="0.6">
      <c r="A38" s="18"/>
      <c r="B38" s="27">
        <v>44391</v>
      </c>
      <c r="C38" s="28" t="s">
        <v>33</v>
      </c>
      <c r="D38" s="29">
        <v>0</v>
      </c>
      <c r="E38" s="29">
        <v>0</v>
      </c>
      <c r="F38" s="30">
        <f t="shared" si="8"/>
        <v>0</v>
      </c>
      <c r="G38" s="30">
        <f t="shared" si="2"/>
        <v>0</v>
      </c>
      <c r="H38" s="30"/>
      <c r="I38" s="31">
        <f t="shared" si="7"/>
        <v>0</v>
      </c>
      <c r="J38" s="17"/>
      <c r="K38" s="18"/>
    </row>
    <row r="39" spans="1:11" ht="26" x14ac:dyDescent="0.6">
      <c r="A39" s="18"/>
      <c r="B39" s="27">
        <v>44391</v>
      </c>
      <c r="C39" s="28" t="s">
        <v>33</v>
      </c>
      <c r="D39" s="29">
        <v>0</v>
      </c>
      <c r="E39" s="29">
        <v>0</v>
      </c>
      <c r="F39" s="30">
        <f t="shared" si="8"/>
        <v>0</v>
      </c>
      <c r="G39" s="30">
        <f t="shared" si="2"/>
        <v>0</v>
      </c>
      <c r="H39" s="30"/>
      <c r="I39" s="31">
        <f t="shared" si="7"/>
        <v>0</v>
      </c>
      <c r="J39" s="17"/>
      <c r="K39" s="18"/>
    </row>
    <row r="40" spans="1:11" ht="26" x14ac:dyDescent="0.6">
      <c r="A40" s="18"/>
      <c r="B40" s="27">
        <v>44391</v>
      </c>
      <c r="C40" s="28" t="s">
        <v>33</v>
      </c>
      <c r="D40" s="29">
        <v>0</v>
      </c>
      <c r="E40" s="29">
        <v>0</v>
      </c>
      <c r="F40" s="30">
        <f t="shared" si="8"/>
        <v>0</v>
      </c>
      <c r="G40" s="30">
        <f t="shared" si="2"/>
        <v>0</v>
      </c>
      <c r="H40" s="30"/>
      <c r="I40" s="31">
        <f t="shared" si="7"/>
        <v>0</v>
      </c>
      <c r="J40" s="17"/>
      <c r="K40" s="18"/>
    </row>
    <row r="41" spans="1:11" ht="26" x14ac:dyDescent="0.6">
      <c r="A41" s="18"/>
      <c r="B41" s="20"/>
      <c r="C41" s="32"/>
      <c r="D41" s="18"/>
      <c r="E41" s="18"/>
      <c r="F41" s="17"/>
      <c r="G41" s="17"/>
      <c r="H41" s="17"/>
      <c r="I41" s="21"/>
      <c r="J41" s="17"/>
      <c r="K41" s="18"/>
    </row>
    <row r="42" spans="1:11" ht="26" x14ac:dyDescent="0.6">
      <c r="A42" s="18"/>
      <c r="B42" s="33">
        <v>44391</v>
      </c>
      <c r="C42" s="34" t="s">
        <v>34</v>
      </c>
      <c r="D42" s="35">
        <v>1</v>
      </c>
      <c r="E42" s="35"/>
      <c r="F42" s="36">
        <f t="shared" ref="F42:F52" si="9">+E42*D42</f>
        <v>0</v>
      </c>
      <c r="G42" s="36">
        <f t="shared" si="2"/>
        <v>0</v>
      </c>
      <c r="H42" s="36"/>
      <c r="I42" s="37">
        <f t="shared" ref="I42:I52" si="10">+$K$4*G42</f>
        <v>0</v>
      </c>
      <c r="J42" s="89"/>
      <c r="K42" s="18"/>
    </row>
    <row r="43" spans="1:11" ht="26" x14ac:dyDescent="0.6">
      <c r="A43" s="18"/>
      <c r="B43" s="33">
        <v>44391</v>
      </c>
      <c r="C43" s="34" t="s">
        <v>34</v>
      </c>
      <c r="D43" s="35">
        <v>2.5</v>
      </c>
      <c r="E43" s="35">
        <v>0</v>
      </c>
      <c r="F43" s="36">
        <f t="shared" si="9"/>
        <v>0</v>
      </c>
      <c r="G43" s="36">
        <f t="shared" si="2"/>
        <v>0</v>
      </c>
      <c r="H43" s="36"/>
      <c r="I43" s="37">
        <f t="shared" si="10"/>
        <v>0</v>
      </c>
      <c r="J43" s="43"/>
      <c r="K43" s="18"/>
    </row>
    <row r="44" spans="1:11" ht="26" x14ac:dyDescent="0.6">
      <c r="A44" s="18"/>
      <c r="B44" s="33">
        <v>44391</v>
      </c>
      <c r="C44" s="34" t="s">
        <v>34</v>
      </c>
      <c r="D44" s="35">
        <v>5</v>
      </c>
      <c r="E44" s="35"/>
      <c r="F44" s="36">
        <f t="shared" si="9"/>
        <v>0</v>
      </c>
      <c r="G44" s="36">
        <f t="shared" si="2"/>
        <v>0</v>
      </c>
      <c r="H44" s="36"/>
      <c r="I44" s="37">
        <f t="shared" si="10"/>
        <v>0</v>
      </c>
      <c r="J44" s="17"/>
      <c r="K44" s="18"/>
    </row>
    <row r="45" spans="1:11" ht="26" x14ac:dyDescent="0.6">
      <c r="A45" s="18"/>
      <c r="B45" s="33">
        <v>44391</v>
      </c>
      <c r="C45" s="34" t="s">
        <v>34</v>
      </c>
      <c r="D45" s="35">
        <v>10</v>
      </c>
      <c r="E45" s="35">
        <v>0</v>
      </c>
      <c r="F45" s="36">
        <f t="shared" si="9"/>
        <v>0</v>
      </c>
      <c r="G45" s="36">
        <f t="shared" si="2"/>
        <v>0</v>
      </c>
      <c r="H45" s="36"/>
      <c r="I45" s="37">
        <f t="shared" si="10"/>
        <v>0</v>
      </c>
      <c r="J45" s="17"/>
      <c r="K45" s="18"/>
    </row>
    <row r="46" spans="1:11" ht="26" x14ac:dyDescent="0.6">
      <c r="A46" s="18"/>
      <c r="B46" s="33">
        <v>44391</v>
      </c>
      <c r="C46" s="34" t="s">
        <v>34</v>
      </c>
      <c r="D46" s="35">
        <v>20</v>
      </c>
      <c r="E46" s="35"/>
      <c r="F46" s="36">
        <f t="shared" si="9"/>
        <v>0</v>
      </c>
      <c r="G46" s="36">
        <f t="shared" si="2"/>
        <v>0</v>
      </c>
      <c r="H46" s="36"/>
      <c r="I46" s="37">
        <f t="shared" si="10"/>
        <v>0</v>
      </c>
      <c r="J46" s="17"/>
      <c r="K46" s="18"/>
    </row>
    <row r="47" spans="1:11" ht="26" x14ac:dyDescent="0.6">
      <c r="A47" s="18"/>
      <c r="B47" s="33">
        <v>44391</v>
      </c>
      <c r="C47" s="34" t="s">
        <v>34</v>
      </c>
      <c r="D47" s="35">
        <v>31.1</v>
      </c>
      <c r="E47" s="35">
        <v>0</v>
      </c>
      <c r="F47" s="36">
        <f t="shared" si="9"/>
        <v>0</v>
      </c>
      <c r="G47" s="36">
        <f t="shared" si="2"/>
        <v>0</v>
      </c>
      <c r="H47" s="36"/>
      <c r="I47" s="37">
        <f t="shared" si="10"/>
        <v>0</v>
      </c>
      <c r="J47" s="17"/>
      <c r="K47" s="18"/>
    </row>
    <row r="48" spans="1:11" ht="26" x14ac:dyDescent="0.6">
      <c r="A48" s="18"/>
      <c r="B48" s="33">
        <v>44391</v>
      </c>
      <c r="C48" s="34" t="s">
        <v>34</v>
      </c>
      <c r="D48" s="35">
        <v>50</v>
      </c>
      <c r="E48" s="35">
        <v>0</v>
      </c>
      <c r="F48" s="36">
        <f t="shared" si="9"/>
        <v>0</v>
      </c>
      <c r="G48" s="36">
        <f t="shared" si="2"/>
        <v>0</v>
      </c>
      <c r="H48" s="36"/>
      <c r="I48" s="37">
        <f t="shared" si="10"/>
        <v>0</v>
      </c>
      <c r="J48" s="43"/>
      <c r="K48" s="18"/>
    </row>
    <row r="49" spans="1:11" ht="26" x14ac:dyDescent="0.6">
      <c r="A49" s="18"/>
      <c r="B49" s="33">
        <v>44391</v>
      </c>
      <c r="C49" s="34" t="s">
        <v>34</v>
      </c>
      <c r="D49" s="35">
        <v>100</v>
      </c>
      <c r="E49" s="35">
        <v>0</v>
      </c>
      <c r="F49" s="36">
        <f t="shared" si="9"/>
        <v>0</v>
      </c>
      <c r="G49" s="36">
        <f t="shared" si="2"/>
        <v>0</v>
      </c>
      <c r="H49" s="36"/>
      <c r="I49" s="37">
        <f t="shared" si="10"/>
        <v>0</v>
      </c>
      <c r="J49" s="17"/>
      <c r="K49" s="18"/>
    </row>
    <row r="50" spans="1:11" ht="26" x14ac:dyDescent="0.6">
      <c r="A50" s="18"/>
      <c r="B50" s="33">
        <v>44391</v>
      </c>
      <c r="C50" s="34" t="s">
        <v>34</v>
      </c>
      <c r="D50" s="35">
        <v>100</v>
      </c>
      <c r="E50" s="35">
        <v>0</v>
      </c>
      <c r="F50" s="36">
        <f t="shared" si="9"/>
        <v>0</v>
      </c>
      <c r="G50" s="36">
        <f t="shared" si="2"/>
        <v>0</v>
      </c>
      <c r="H50" s="36"/>
      <c r="I50" s="37">
        <f t="shared" si="10"/>
        <v>0</v>
      </c>
      <c r="J50" s="17"/>
      <c r="K50" s="18"/>
    </row>
    <row r="51" spans="1:11" ht="26" x14ac:dyDescent="0.6">
      <c r="A51" s="18"/>
      <c r="B51" s="33">
        <v>44391</v>
      </c>
      <c r="C51" s="34" t="s">
        <v>34</v>
      </c>
      <c r="D51" s="35">
        <v>0</v>
      </c>
      <c r="E51" s="35">
        <v>0</v>
      </c>
      <c r="F51" s="36">
        <f t="shared" si="9"/>
        <v>0</v>
      </c>
      <c r="G51" s="36">
        <f t="shared" si="2"/>
        <v>0</v>
      </c>
      <c r="H51" s="36"/>
      <c r="I51" s="37">
        <f t="shared" si="10"/>
        <v>0</v>
      </c>
      <c r="J51" s="17"/>
      <c r="K51" s="18"/>
    </row>
    <row r="52" spans="1:11" ht="26" x14ac:dyDescent="0.6">
      <c r="A52" s="18"/>
      <c r="B52" s="33">
        <v>44391</v>
      </c>
      <c r="C52" s="34" t="s">
        <v>34</v>
      </c>
      <c r="D52" s="35">
        <v>0</v>
      </c>
      <c r="E52" s="35">
        <v>0</v>
      </c>
      <c r="F52" s="36">
        <f t="shared" si="9"/>
        <v>0</v>
      </c>
      <c r="G52" s="36">
        <f t="shared" si="2"/>
        <v>0</v>
      </c>
      <c r="H52" s="36"/>
      <c r="I52" s="37">
        <f t="shared" si="10"/>
        <v>0</v>
      </c>
      <c r="J52" s="17"/>
      <c r="K52" s="18"/>
    </row>
    <row r="53" spans="1:11" ht="26" x14ac:dyDescent="0.6">
      <c r="A53" s="18"/>
      <c r="B53" s="20"/>
      <c r="C53" s="32"/>
      <c r="D53" s="18"/>
      <c r="E53" s="18"/>
      <c r="F53" s="17"/>
      <c r="G53" s="17"/>
      <c r="H53" s="17"/>
      <c r="I53" s="21"/>
      <c r="J53" s="17"/>
      <c r="K53" s="18"/>
    </row>
    <row r="54" spans="1:11" ht="26" x14ac:dyDescent="0.6">
      <c r="A54" s="18"/>
      <c r="B54" s="38">
        <v>44391</v>
      </c>
      <c r="C54" s="39" t="s">
        <v>81</v>
      </c>
      <c r="D54" s="40">
        <v>1</v>
      </c>
      <c r="E54" s="40">
        <v>0</v>
      </c>
      <c r="F54" s="41">
        <f t="shared" ref="F54:F62" si="11">+E54*D54</f>
        <v>0</v>
      </c>
      <c r="G54" s="41">
        <f t="shared" si="2"/>
        <v>0</v>
      </c>
      <c r="H54" s="41"/>
      <c r="I54" s="42">
        <f t="shared" ref="I54:I62" si="12">+$K$4*G54</f>
        <v>0</v>
      </c>
      <c r="J54" s="17"/>
      <c r="K54" s="18"/>
    </row>
    <row r="55" spans="1:11" ht="26" x14ac:dyDescent="0.6">
      <c r="A55" s="18"/>
      <c r="B55" s="38">
        <v>44391</v>
      </c>
      <c r="C55" s="39" t="s">
        <v>81</v>
      </c>
      <c r="D55" s="40">
        <v>2.5</v>
      </c>
      <c r="E55" s="40"/>
      <c r="F55" s="41">
        <f t="shared" si="11"/>
        <v>0</v>
      </c>
      <c r="G55" s="41">
        <f t="shared" si="2"/>
        <v>0</v>
      </c>
      <c r="H55" s="41"/>
      <c r="I55" s="42">
        <f t="shared" si="12"/>
        <v>0</v>
      </c>
      <c r="J55" s="89"/>
      <c r="K55" s="18"/>
    </row>
    <row r="56" spans="1:11" ht="26" x14ac:dyDescent="0.6">
      <c r="A56" s="18"/>
      <c r="B56" s="38">
        <v>44391</v>
      </c>
      <c r="C56" s="39" t="s">
        <v>81</v>
      </c>
      <c r="D56" s="40">
        <v>5</v>
      </c>
      <c r="E56" s="40"/>
      <c r="F56" s="41">
        <f t="shared" si="11"/>
        <v>0</v>
      </c>
      <c r="G56" s="41">
        <f t="shared" si="2"/>
        <v>0</v>
      </c>
      <c r="H56" s="41"/>
      <c r="I56" s="42">
        <f t="shared" si="12"/>
        <v>0</v>
      </c>
      <c r="J56" s="17"/>
      <c r="K56" s="18"/>
    </row>
    <row r="57" spans="1:11" ht="26" x14ac:dyDescent="0.6">
      <c r="A57" s="18"/>
      <c r="B57" s="38">
        <v>44391</v>
      </c>
      <c r="C57" s="39" t="s">
        <v>81</v>
      </c>
      <c r="D57" s="40">
        <v>10</v>
      </c>
      <c r="E57" s="40"/>
      <c r="F57" s="41">
        <f t="shared" si="11"/>
        <v>0</v>
      </c>
      <c r="G57" s="41">
        <f t="shared" si="2"/>
        <v>0</v>
      </c>
      <c r="H57" s="41"/>
      <c r="I57" s="42">
        <f t="shared" si="12"/>
        <v>0</v>
      </c>
      <c r="J57" s="89"/>
      <c r="K57" s="18"/>
    </row>
    <row r="58" spans="1:11" ht="26" x14ac:dyDescent="0.6">
      <c r="A58" s="18"/>
      <c r="B58" s="38">
        <v>44391</v>
      </c>
      <c r="C58" s="39" t="s">
        <v>81</v>
      </c>
      <c r="D58" s="40">
        <v>20</v>
      </c>
      <c r="E58" s="40"/>
      <c r="F58" s="41">
        <f t="shared" si="11"/>
        <v>0</v>
      </c>
      <c r="G58" s="41">
        <f t="shared" si="2"/>
        <v>0</v>
      </c>
      <c r="H58" s="41"/>
      <c r="I58" s="42">
        <f t="shared" si="12"/>
        <v>0</v>
      </c>
      <c r="J58" s="17"/>
      <c r="K58" s="18"/>
    </row>
    <row r="59" spans="1:11" ht="26" x14ac:dyDescent="0.6">
      <c r="A59" s="18"/>
      <c r="B59" s="38">
        <v>44391</v>
      </c>
      <c r="C59" s="39" t="s">
        <v>81</v>
      </c>
      <c r="D59" s="40">
        <v>31.1</v>
      </c>
      <c r="E59" s="40"/>
      <c r="F59" s="41">
        <f t="shared" si="11"/>
        <v>0</v>
      </c>
      <c r="G59" s="41">
        <f t="shared" si="2"/>
        <v>0</v>
      </c>
      <c r="H59" s="41"/>
      <c r="I59" s="42">
        <f t="shared" si="12"/>
        <v>0</v>
      </c>
      <c r="J59" s="17"/>
      <c r="K59" s="18"/>
    </row>
    <row r="60" spans="1:11" ht="26" x14ac:dyDescent="0.6">
      <c r="A60" s="18"/>
      <c r="B60" s="38">
        <v>44391</v>
      </c>
      <c r="C60" s="39" t="s">
        <v>81</v>
      </c>
      <c r="D60" s="40">
        <v>50</v>
      </c>
      <c r="E60" s="40"/>
      <c r="F60" s="41">
        <f t="shared" si="11"/>
        <v>0</v>
      </c>
      <c r="G60" s="41">
        <f t="shared" si="2"/>
        <v>0</v>
      </c>
      <c r="H60" s="41"/>
      <c r="I60" s="42">
        <f t="shared" si="12"/>
        <v>0</v>
      </c>
      <c r="J60" s="17"/>
      <c r="K60" s="18"/>
    </row>
    <row r="61" spans="1:11" ht="26" x14ac:dyDescent="0.6">
      <c r="A61" s="18"/>
      <c r="B61" s="38">
        <v>44391</v>
      </c>
      <c r="C61" s="39" t="s">
        <v>81</v>
      </c>
      <c r="D61" s="40">
        <v>100</v>
      </c>
      <c r="E61" s="40"/>
      <c r="F61" s="41">
        <f t="shared" si="11"/>
        <v>0</v>
      </c>
      <c r="G61" s="41">
        <f t="shared" si="2"/>
        <v>0</v>
      </c>
      <c r="H61" s="41"/>
      <c r="I61" s="42">
        <f t="shared" si="12"/>
        <v>0</v>
      </c>
      <c r="J61" s="17"/>
      <c r="K61" s="18"/>
    </row>
    <row r="62" spans="1:11" ht="26" x14ac:dyDescent="0.6">
      <c r="A62" s="18"/>
      <c r="B62" s="38">
        <v>44391</v>
      </c>
      <c r="C62" s="39" t="s">
        <v>148</v>
      </c>
      <c r="D62" s="40">
        <v>50</v>
      </c>
      <c r="E62" s="40"/>
      <c r="F62" s="41">
        <f t="shared" si="11"/>
        <v>0</v>
      </c>
      <c r="G62" s="41">
        <f t="shared" si="2"/>
        <v>0</v>
      </c>
      <c r="H62" s="41"/>
      <c r="I62" s="42">
        <f t="shared" si="12"/>
        <v>0</v>
      </c>
      <c r="J62" s="17"/>
      <c r="K62" s="18"/>
    </row>
    <row r="63" spans="1:11" ht="26" x14ac:dyDescent="0.6">
      <c r="A63" s="18"/>
      <c r="B63" s="38">
        <v>44391</v>
      </c>
      <c r="C63" s="39" t="s">
        <v>126</v>
      </c>
      <c r="D63" s="40">
        <v>5</v>
      </c>
      <c r="E63" s="40"/>
      <c r="F63" s="41">
        <f t="shared" ref="F63" si="13">+E63*D63</f>
        <v>0</v>
      </c>
      <c r="G63" s="41">
        <f t="shared" ref="G63" si="14">0.9999*F63</f>
        <v>0</v>
      </c>
      <c r="H63" s="41"/>
      <c r="I63" s="42">
        <f t="shared" ref="I63" si="15">+$K$4*G63</f>
        <v>0</v>
      </c>
      <c r="J63" s="89"/>
      <c r="K63" s="18"/>
    </row>
    <row r="64" spans="1:11" ht="26" x14ac:dyDescent="0.6">
      <c r="A64" s="18"/>
      <c r="B64" s="20"/>
      <c r="C64" s="32"/>
      <c r="D64" s="18"/>
      <c r="E64" s="18"/>
      <c r="F64" s="17"/>
      <c r="G64" s="17"/>
      <c r="H64" s="17"/>
      <c r="I64" s="21"/>
      <c r="J64" s="17"/>
      <c r="K64" s="18"/>
    </row>
    <row r="65" spans="1:11" ht="26" x14ac:dyDescent="0.6">
      <c r="A65" s="18"/>
      <c r="B65" s="73"/>
      <c r="C65" s="67" t="s">
        <v>128</v>
      </c>
      <c r="D65" s="68">
        <v>1</v>
      </c>
      <c r="E65" s="68"/>
      <c r="F65" s="69">
        <f t="shared" ref="F65:F86" si="16">+E65*D65</f>
        <v>0</v>
      </c>
      <c r="G65" s="69">
        <f t="shared" ref="G65:G86" si="17">0.9999*F65</f>
        <v>0</v>
      </c>
      <c r="H65" s="69"/>
      <c r="I65" s="70">
        <f t="shared" ref="I65:I86" si="18">+$K$4*G65</f>
        <v>0</v>
      </c>
      <c r="J65" s="89"/>
      <c r="K65" s="18"/>
    </row>
    <row r="66" spans="1:11" ht="26" x14ac:dyDescent="0.6">
      <c r="A66" s="18"/>
      <c r="B66" s="73"/>
      <c r="C66" s="67" t="s">
        <v>128</v>
      </c>
      <c r="D66" s="68">
        <v>2</v>
      </c>
      <c r="E66" s="68">
        <v>0</v>
      </c>
      <c r="F66" s="69">
        <f t="shared" si="16"/>
        <v>0</v>
      </c>
      <c r="G66" s="69">
        <f t="shared" si="17"/>
        <v>0</v>
      </c>
      <c r="H66" s="69"/>
      <c r="I66" s="70">
        <f t="shared" si="18"/>
        <v>0</v>
      </c>
      <c r="J66" s="89"/>
      <c r="K66" s="18"/>
    </row>
    <row r="67" spans="1:11" ht="26" x14ac:dyDescent="0.6">
      <c r="A67" s="18"/>
      <c r="B67" s="73"/>
      <c r="C67" s="67" t="s">
        <v>128</v>
      </c>
      <c r="D67" s="68">
        <v>5</v>
      </c>
      <c r="E67" s="68"/>
      <c r="F67" s="69">
        <f t="shared" si="16"/>
        <v>0</v>
      </c>
      <c r="G67" s="69">
        <f t="shared" si="17"/>
        <v>0</v>
      </c>
      <c r="H67" s="69"/>
      <c r="I67" s="70">
        <f t="shared" si="18"/>
        <v>0</v>
      </c>
      <c r="J67" s="17"/>
      <c r="K67" s="18"/>
    </row>
    <row r="68" spans="1:11" ht="26" x14ac:dyDescent="0.6">
      <c r="A68" s="18"/>
      <c r="B68" s="73"/>
      <c r="C68" s="67" t="s">
        <v>128</v>
      </c>
      <c r="D68" s="68">
        <v>10</v>
      </c>
      <c r="E68" s="68"/>
      <c r="F68" s="69">
        <f t="shared" si="16"/>
        <v>0</v>
      </c>
      <c r="G68" s="69">
        <f t="shared" si="17"/>
        <v>0</v>
      </c>
      <c r="H68" s="69"/>
      <c r="I68" s="70">
        <f t="shared" si="18"/>
        <v>0</v>
      </c>
      <c r="J68" s="17"/>
      <c r="K68" s="18"/>
    </row>
    <row r="69" spans="1:11" ht="26" x14ac:dyDescent="0.6">
      <c r="A69" s="18"/>
      <c r="B69" s="73"/>
      <c r="C69" s="67" t="s">
        <v>128</v>
      </c>
      <c r="D69" s="68">
        <v>20</v>
      </c>
      <c r="E69" s="68"/>
      <c r="F69" s="69">
        <f t="shared" si="16"/>
        <v>0</v>
      </c>
      <c r="G69" s="69">
        <f t="shared" si="17"/>
        <v>0</v>
      </c>
      <c r="H69" s="69"/>
      <c r="I69" s="70">
        <f t="shared" si="18"/>
        <v>0</v>
      </c>
      <c r="J69" s="17"/>
      <c r="K69" s="18"/>
    </row>
    <row r="70" spans="1:11" ht="26" x14ac:dyDescent="0.6">
      <c r="A70" s="18"/>
      <c r="B70" s="73"/>
      <c r="C70" s="74" t="s">
        <v>149</v>
      </c>
      <c r="D70" s="75">
        <v>1</v>
      </c>
      <c r="E70" s="75">
        <v>4</v>
      </c>
      <c r="F70" s="76">
        <f t="shared" ref="F70" si="19">+E70*D70</f>
        <v>4</v>
      </c>
      <c r="G70" s="76">
        <f t="shared" ref="G70" si="20">0.9999*F70</f>
        <v>3.9996</v>
      </c>
      <c r="H70" s="76"/>
      <c r="I70" s="77">
        <f t="shared" ref="I70" si="21">+$K$4*G70</f>
        <v>3527.9671680000001</v>
      </c>
      <c r="J70" s="89"/>
      <c r="K70" s="18"/>
    </row>
    <row r="71" spans="1:11" ht="26" x14ac:dyDescent="0.6">
      <c r="A71" s="18"/>
      <c r="B71" s="73"/>
      <c r="C71" s="74" t="s">
        <v>149</v>
      </c>
      <c r="D71" s="75">
        <f>31.1/2</f>
        <v>15.55</v>
      </c>
      <c r="E71" s="75">
        <v>1</v>
      </c>
      <c r="F71" s="76">
        <f t="shared" si="16"/>
        <v>15.55</v>
      </c>
      <c r="G71" s="76">
        <f t="shared" si="17"/>
        <v>15.548445000000001</v>
      </c>
      <c r="H71" s="76"/>
      <c r="I71" s="77">
        <f t="shared" si="18"/>
        <v>13714.972365600002</v>
      </c>
      <c r="J71" s="89"/>
      <c r="K71" s="18"/>
    </row>
    <row r="72" spans="1:11" ht="26" x14ac:dyDescent="0.6">
      <c r="A72" s="18"/>
      <c r="B72" s="73"/>
      <c r="C72" s="74" t="s">
        <v>149</v>
      </c>
      <c r="D72" s="75">
        <v>5</v>
      </c>
      <c r="E72" s="75">
        <v>0</v>
      </c>
      <c r="F72" s="76">
        <f t="shared" si="16"/>
        <v>0</v>
      </c>
      <c r="G72" s="76">
        <f t="shared" si="17"/>
        <v>0</v>
      </c>
      <c r="H72" s="76"/>
      <c r="I72" s="77">
        <f t="shared" si="18"/>
        <v>0</v>
      </c>
      <c r="J72" s="89"/>
      <c r="K72" s="18"/>
    </row>
    <row r="73" spans="1:11" ht="26" x14ac:dyDescent="0.6">
      <c r="A73" s="18"/>
      <c r="B73" s="73"/>
      <c r="C73" s="79"/>
      <c r="D73" s="18"/>
      <c r="E73" s="18"/>
      <c r="F73" s="17">
        <f t="shared" si="16"/>
        <v>0</v>
      </c>
      <c r="G73" s="17">
        <f t="shared" si="17"/>
        <v>0</v>
      </c>
      <c r="H73" s="17"/>
      <c r="I73" s="21">
        <f t="shared" si="18"/>
        <v>0</v>
      </c>
      <c r="J73" s="17"/>
      <c r="K73" s="18"/>
    </row>
    <row r="74" spans="1:11" ht="26" x14ac:dyDescent="0.6">
      <c r="A74" s="18"/>
      <c r="B74" s="73"/>
      <c r="C74" s="79" t="s">
        <v>165</v>
      </c>
      <c r="D74" s="18">
        <v>2.5</v>
      </c>
      <c r="E74" s="18"/>
      <c r="F74" s="17">
        <f t="shared" si="16"/>
        <v>0</v>
      </c>
      <c r="G74" s="17">
        <f t="shared" si="17"/>
        <v>0</v>
      </c>
      <c r="H74" s="17"/>
      <c r="I74" s="21">
        <f t="shared" si="18"/>
        <v>0</v>
      </c>
      <c r="J74" s="89"/>
      <c r="K74" s="18"/>
    </row>
    <row r="75" spans="1:11" ht="26" x14ac:dyDescent="0.6">
      <c r="A75" s="18"/>
      <c r="B75" s="73"/>
      <c r="C75" s="79" t="s">
        <v>278</v>
      </c>
      <c r="D75" s="18">
        <v>10</v>
      </c>
      <c r="E75" s="18"/>
      <c r="F75" s="17">
        <f t="shared" ref="F75:F83" si="22">+E75*D75</f>
        <v>0</v>
      </c>
      <c r="G75" s="17">
        <f t="shared" ref="G75:G83" si="23">0.9999*F75</f>
        <v>0</v>
      </c>
      <c r="H75" s="17"/>
      <c r="I75" s="21">
        <f t="shared" ref="I75:I83" si="24">+$K$4*G75</f>
        <v>0</v>
      </c>
      <c r="J75" s="89"/>
      <c r="K75" s="18"/>
    </row>
    <row r="76" spans="1:11" ht="26" x14ac:dyDescent="0.6">
      <c r="A76" s="18"/>
      <c r="B76" s="73"/>
      <c r="C76" s="79" t="s">
        <v>279</v>
      </c>
      <c r="D76" s="18">
        <v>5</v>
      </c>
      <c r="E76" s="18"/>
      <c r="F76" s="17">
        <f t="shared" si="22"/>
        <v>0</v>
      </c>
      <c r="G76" s="17">
        <f t="shared" si="23"/>
        <v>0</v>
      </c>
      <c r="H76" s="17"/>
      <c r="I76" s="21">
        <f t="shared" si="24"/>
        <v>0</v>
      </c>
      <c r="J76" s="89"/>
      <c r="K76" s="18"/>
    </row>
    <row r="77" spans="1:11" ht="26" x14ac:dyDescent="0.6">
      <c r="A77" s="18"/>
      <c r="B77" s="73"/>
      <c r="C77" s="79" t="s">
        <v>280</v>
      </c>
      <c r="D77" s="18">
        <v>2.5</v>
      </c>
      <c r="E77" s="18"/>
      <c r="F77" s="17">
        <f t="shared" si="22"/>
        <v>0</v>
      </c>
      <c r="G77" s="17">
        <f t="shared" si="23"/>
        <v>0</v>
      </c>
      <c r="H77" s="17"/>
      <c r="I77" s="21">
        <f t="shared" si="24"/>
        <v>0</v>
      </c>
      <c r="J77" s="89"/>
      <c r="K77" s="18"/>
    </row>
    <row r="78" spans="1:11" ht="26" x14ac:dyDescent="0.6">
      <c r="A78" s="18"/>
      <c r="B78" s="73"/>
      <c r="C78" s="79" t="s">
        <v>281</v>
      </c>
      <c r="D78" s="18">
        <v>10</v>
      </c>
      <c r="E78" s="18"/>
      <c r="F78" s="17">
        <f t="shared" si="22"/>
        <v>0</v>
      </c>
      <c r="G78" s="17">
        <f t="shared" si="23"/>
        <v>0</v>
      </c>
      <c r="H78" s="17"/>
      <c r="I78" s="21">
        <f t="shared" si="24"/>
        <v>0</v>
      </c>
      <c r="J78" s="89"/>
      <c r="K78" s="18"/>
    </row>
    <row r="79" spans="1:11" ht="26" x14ac:dyDescent="0.6">
      <c r="A79" s="18"/>
      <c r="B79" s="73"/>
      <c r="C79" s="79" t="s">
        <v>282</v>
      </c>
      <c r="D79" s="18">
        <v>10</v>
      </c>
      <c r="E79" s="18"/>
      <c r="F79" s="17">
        <f t="shared" si="22"/>
        <v>0</v>
      </c>
      <c r="G79" s="17">
        <f t="shared" si="23"/>
        <v>0</v>
      </c>
      <c r="H79" s="17"/>
      <c r="I79" s="21">
        <f t="shared" si="24"/>
        <v>0</v>
      </c>
      <c r="J79" s="89"/>
      <c r="K79" s="18"/>
    </row>
    <row r="80" spans="1:11" ht="26" x14ac:dyDescent="0.6">
      <c r="A80" s="18"/>
      <c r="B80" s="73"/>
      <c r="C80" s="79" t="s">
        <v>290</v>
      </c>
      <c r="D80" s="18">
        <v>2.5</v>
      </c>
      <c r="E80" s="18"/>
      <c r="F80" s="17">
        <f t="shared" si="22"/>
        <v>0</v>
      </c>
      <c r="G80" s="17">
        <f t="shared" si="23"/>
        <v>0</v>
      </c>
      <c r="H80" s="17"/>
      <c r="I80" s="21">
        <f t="shared" si="24"/>
        <v>0</v>
      </c>
      <c r="J80" s="89"/>
      <c r="K80" s="18"/>
    </row>
    <row r="81" spans="1:13" ht="26" x14ac:dyDescent="0.6">
      <c r="A81" s="18"/>
      <c r="B81" s="73"/>
      <c r="C81" s="79" t="s">
        <v>291</v>
      </c>
      <c r="D81" s="18">
        <v>5</v>
      </c>
      <c r="E81" s="18"/>
      <c r="F81" s="17">
        <f t="shared" si="22"/>
        <v>0</v>
      </c>
      <c r="G81" s="17">
        <f t="shared" si="23"/>
        <v>0</v>
      </c>
      <c r="H81" s="17"/>
      <c r="I81" s="21">
        <f t="shared" si="24"/>
        <v>0</v>
      </c>
      <c r="J81" s="89"/>
      <c r="K81" s="18"/>
    </row>
    <row r="82" spans="1:13" ht="26" x14ac:dyDescent="0.6">
      <c r="A82" s="18"/>
      <c r="B82" s="73"/>
      <c r="C82" s="79"/>
      <c r="D82" s="18"/>
      <c r="E82" s="18"/>
      <c r="F82" s="17"/>
      <c r="G82" s="17"/>
      <c r="H82" s="17"/>
      <c r="I82" s="21"/>
      <c r="J82" s="89"/>
      <c r="K82" s="18"/>
    </row>
    <row r="83" spans="1:13" ht="26" x14ac:dyDescent="0.6">
      <c r="A83" s="18"/>
      <c r="B83" s="73"/>
      <c r="C83" s="79"/>
      <c r="D83" s="18"/>
      <c r="E83" s="18"/>
      <c r="F83" s="17">
        <f t="shared" si="22"/>
        <v>0</v>
      </c>
      <c r="G83" s="17">
        <f t="shared" si="23"/>
        <v>0</v>
      </c>
      <c r="H83" s="17"/>
      <c r="I83" s="21">
        <f t="shared" si="24"/>
        <v>0</v>
      </c>
      <c r="J83" s="17"/>
      <c r="K83" s="18"/>
    </row>
    <row r="84" spans="1:13" ht="26" x14ac:dyDescent="0.6">
      <c r="A84" s="18"/>
      <c r="B84" s="84"/>
      <c r="C84" s="79"/>
      <c r="D84" s="90">
        <f t="shared" ref="D84:H84" si="25">SUM(D11:D83)</f>
        <v>1389.55</v>
      </c>
      <c r="E84" s="90">
        <f t="shared" si="25"/>
        <v>11</v>
      </c>
      <c r="F84" s="90">
        <f t="shared" si="25"/>
        <v>30.05</v>
      </c>
      <c r="G84" s="90">
        <f>SUM(G11:G83)</f>
        <v>30.046995000000003</v>
      </c>
      <c r="H84" s="90">
        <f t="shared" si="25"/>
        <v>0</v>
      </c>
      <c r="I84" s="90">
        <f>SUM(I11:I83)</f>
        <v>26503.853349600002</v>
      </c>
      <c r="J84" s="17"/>
      <c r="K84" s="18"/>
    </row>
    <row r="85" spans="1:13" ht="28.5" x14ac:dyDescent="0.65">
      <c r="A85" s="107" t="s">
        <v>35</v>
      </c>
      <c r="B85" s="107"/>
      <c r="C85" s="6"/>
      <c r="D85" s="18"/>
      <c r="E85" s="18"/>
      <c r="F85" s="17"/>
      <c r="G85" s="17"/>
      <c r="H85" s="17"/>
      <c r="I85" s="21"/>
      <c r="J85" s="1"/>
    </row>
    <row r="86" spans="1:13" ht="26" x14ac:dyDescent="0.6">
      <c r="B86" s="4"/>
      <c r="C86" s="6"/>
      <c r="D86" s="18"/>
      <c r="E86" s="18"/>
      <c r="F86" s="17">
        <f t="shared" si="16"/>
        <v>0</v>
      </c>
      <c r="G86" s="17">
        <f t="shared" si="17"/>
        <v>0</v>
      </c>
      <c r="H86" s="17"/>
      <c r="I86" s="21">
        <f t="shared" si="18"/>
        <v>0</v>
      </c>
      <c r="J86" s="1"/>
    </row>
    <row r="87" spans="1:13" ht="26" x14ac:dyDescent="0.6">
      <c r="A87" s="18"/>
      <c r="B87" s="73">
        <v>44391</v>
      </c>
      <c r="C87" s="20" t="s">
        <v>36</v>
      </c>
      <c r="D87" s="18">
        <v>31.1</v>
      </c>
      <c r="E87" s="18"/>
      <c r="F87" s="17">
        <f>+E87*D87</f>
        <v>0</v>
      </c>
      <c r="G87" s="17">
        <f t="shared" si="2"/>
        <v>0</v>
      </c>
      <c r="H87" s="17"/>
      <c r="I87" s="21">
        <f>+$K$4*G87</f>
        <v>0</v>
      </c>
      <c r="J87" s="17"/>
      <c r="K87" s="18"/>
      <c r="L87" s="18"/>
      <c r="M87" s="18"/>
    </row>
    <row r="88" spans="1:13" ht="26" x14ac:dyDescent="0.6">
      <c r="A88" s="18"/>
      <c r="B88" s="20">
        <v>44568</v>
      </c>
      <c r="C88" s="20" t="s">
        <v>113</v>
      </c>
      <c r="D88" s="18">
        <v>31.1</v>
      </c>
      <c r="E88" s="18"/>
      <c r="F88" s="17">
        <f>+E88*D88</f>
        <v>0</v>
      </c>
      <c r="G88" s="17">
        <f t="shared" si="2"/>
        <v>0</v>
      </c>
      <c r="H88" s="17"/>
      <c r="I88" s="21">
        <f>+$K$4*G88</f>
        <v>0</v>
      </c>
      <c r="J88" s="17"/>
      <c r="K88" s="18"/>
      <c r="L88" s="18"/>
      <c r="M88" s="18"/>
    </row>
    <row r="89" spans="1:13" ht="26" x14ac:dyDescent="0.6">
      <c r="A89" s="18"/>
      <c r="B89" s="20">
        <v>44391</v>
      </c>
      <c r="C89" s="20" t="s">
        <v>37</v>
      </c>
      <c r="D89" s="18">
        <f>+D87/2</f>
        <v>15.55</v>
      </c>
      <c r="E89" s="18"/>
      <c r="F89" s="17">
        <f>+E89*D89</f>
        <v>0</v>
      </c>
      <c r="G89" s="17">
        <f t="shared" si="2"/>
        <v>0</v>
      </c>
      <c r="H89" s="17"/>
      <c r="I89" s="21">
        <f>+$K$4*G89</f>
        <v>0</v>
      </c>
      <c r="J89" s="17"/>
      <c r="K89" s="18"/>
      <c r="L89" s="18"/>
      <c r="M89" s="18"/>
    </row>
    <row r="90" spans="1:13" ht="26" x14ac:dyDescent="0.6">
      <c r="A90" s="18"/>
      <c r="B90" s="73">
        <v>44391</v>
      </c>
      <c r="C90" s="20" t="s">
        <v>38</v>
      </c>
      <c r="D90" s="18">
        <f>+D87/4</f>
        <v>7.7750000000000004</v>
      </c>
      <c r="E90" s="18"/>
      <c r="F90" s="17">
        <f>+E90*D90</f>
        <v>0</v>
      </c>
      <c r="G90" s="17">
        <f t="shared" si="2"/>
        <v>0</v>
      </c>
      <c r="H90" s="17"/>
      <c r="I90" s="21">
        <f>+$K$4*G90</f>
        <v>0</v>
      </c>
      <c r="J90" s="17"/>
      <c r="K90" s="18"/>
      <c r="L90" s="18"/>
      <c r="M90" s="18" t="s">
        <v>17</v>
      </c>
    </row>
    <row r="91" spans="1:13" ht="26" x14ac:dyDescent="0.6">
      <c r="A91" s="18"/>
      <c r="B91" s="73">
        <v>44391</v>
      </c>
      <c r="C91" s="20" t="s">
        <v>39</v>
      </c>
      <c r="D91" s="18">
        <f>+D87/10</f>
        <v>3.1100000000000003</v>
      </c>
      <c r="E91" s="18"/>
      <c r="F91" s="17">
        <f>+E91*D91</f>
        <v>0</v>
      </c>
      <c r="G91" s="17">
        <f t="shared" si="2"/>
        <v>0</v>
      </c>
      <c r="H91" s="17"/>
      <c r="I91" s="21">
        <f>+$K$4*G91</f>
        <v>0</v>
      </c>
      <c r="J91" s="89"/>
      <c r="K91" s="18" t="s">
        <v>17</v>
      </c>
      <c r="L91" s="18"/>
      <c r="M91" s="18"/>
    </row>
    <row r="92" spans="1:13" ht="26" x14ac:dyDescent="0.6">
      <c r="A92" s="18"/>
      <c r="B92" s="20"/>
      <c r="C92" s="32"/>
      <c r="D92" s="18"/>
      <c r="E92" s="18"/>
      <c r="F92" s="17"/>
      <c r="G92" s="17"/>
      <c r="H92" s="17"/>
      <c r="I92" s="21"/>
      <c r="J92" s="17"/>
      <c r="K92" s="18"/>
      <c r="L92" s="18"/>
      <c r="M92" s="18"/>
    </row>
    <row r="93" spans="1:13" ht="26" x14ac:dyDescent="0.6">
      <c r="A93" s="18"/>
      <c r="B93" s="20">
        <v>44391</v>
      </c>
      <c r="C93" s="20" t="s">
        <v>40</v>
      </c>
      <c r="D93" s="18">
        <v>31.1</v>
      </c>
      <c r="E93" s="18"/>
      <c r="F93" s="17">
        <f>+E93*D93</f>
        <v>0</v>
      </c>
      <c r="G93" s="17">
        <f t="shared" si="2"/>
        <v>0</v>
      </c>
      <c r="H93" s="17"/>
      <c r="I93" s="21">
        <f>+$K$4*G93</f>
        <v>0</v>
      </c>
      <c r="J93" s="17"/>
      <c r="K93" s="18"/>
      <c r="L93" s="18"/>
      <c r="M93" s="18"/>
    </row>
    <row r="94" spans="1:13" ht="26" x14ac:dyDescent="0.6">
      <c r="A94" s="18"/>
      <c r="B94" s="20">
        <v>44568</v>
      </c>
      <c r="C94" s="20" t="s">
        <v>114</v>
      </c>
      <c r="D94" s="18">
        <v>31.1</v>
      </c>
      <c r="E94" s="18">
        <v>0</v>
      </c>
      <c r="F94" s="17">
        <f>+E94*D94</f>
        <v>0</v>
      </c>
      <c r="G94" s="17">
        <f t="shared" si="2"/>
        <v>0</v>
      </c>
      <c r="H94" s="17"/>
      <c r="I94" s="21">
        <f>+$K$4*G94</f>
        <v>0</v>
      </c>
      <c r="J94" s="17"/>
      <c r="K94" s="18"/>
      <c r="L94" s="18"/>
      <c r="M94" s="18"/>
    </row>
    <row r="95" spans="1:13" ht="26" x14ac:dyDescent="0.6">
      <c r="A95" s="18"/>
      <c r="B95" s="73">
        <v>44391</v>
      </c>
      <c r="C95" s="20" t="s">
        <v>41</v>
      </c>
      <c r="D95" s="18">
        <f>+D93/2</f>
        <v>15.55</v>
      </c>
      <c r="E95" s="18"/>
      <c r="F95" s="17">
        <f>+E95*D95</f>
        <v>0</v>
      </c>
      <c r="G95" s="17">
        <f t="shared" si="2"/>
        <v>0</v>
      </c>
      <c r="H95" s="17"/>
      <c r="I95" s="21">
        <f>+$K$4*G95</f>
        <v>0</v>
      </c>
      <c r="J95" s="17"/>
      <c r="K95" s="18"/>
      <c r="L95" s="18"/>
      <c r="M95" s="18"/>
    </row>
    <row r="96" spans="1:13" ht="26" x14ac:dyDescent="0.6">
      <c r="A96" s="18"/>
      <c r="B96" s="20">
        <v>44391</v>
      </c>
      <c r="C96" s="20" t="s">
        <v>42</v>
      </c>
      <c r="D96" s="18">
        <f>+D93/4</f>
        <v>7.7750000000000004</v>
      </c>
      <c r="E96" s="18">
        <v>0</v>
      </c>
      <c r="F96" s="17">
        <f t="shared" ref="F96:F107" si="26">+E96*D96</f>
        <v>0</v>
      </c>
      <c r="G96" s="17">
        <f t="shared" si="2"/>
        <v>0</v>
      </c>
      <c r="H96" s="17"/>
      <c r="I96" s="21">
        <f t="shared" ref="I96:I107" si="27">+$K$4*G96</f>
        <v>0</v>
      </c>
      <c r="J96" s="17"/>
      <c r="K96" s="18"/>
      <c r="L96" s="18"/>
      <c r="M96" s="18"/>
    </row>
    <row r="97" spans="1:13" ht="26" x14ac:dyDescent="0.6">
      <c r="A97" s="18"/>
      <c r="B97" s="20">
        <v>44391</v>
      </c>
      <c r="C97" s="20" t="s">
        <v>43</v>
      </c>
      <c r="D97" s="18">
        <f>+D93/10</f>
        <v>3.1100000000000003</v>
      </c>
      <c r="E97" s="18"/>
      <c r="F97" s="17">
        <f t="shared" si="26"/>
        <v>0</v>
      </c>
      <c r="G97" s="17">
        <f t="shared" si="2"/>
        <v>0</v>
      </c>
      <c r="H97" s="17"/>
      <c r="I97" s="21">
        <f t="shared" si="27"/>
        <v>0</v>
      </c>
      <c r="J97" s="17"/>
      <c r="K97" s="18"/>
      <c r="L97" s="18"/>
      <c r="M97" s="18"/>
    </row>
    <row r="98" spans="1:13" ht="26" x14ac:dyDescent="0.6">
      <c r="A98" s="18"/>
      <c r="B98" s="20"/>
      <c r="C98" s="20"/>
      <c r="D98" s="18"/>
      <c r="E98" s="18"/>
      <c r="F98" s="17"/>
      <c r="G98" s="17"/>
      <c r="H98" s="17"/>
      <c r="I98" s="21"/>
      <c r="J98" s="17"/>
      <c r="K98" s="18"/>
      <c r="L98" s="18"/>
      <c r="M98" s="18"/>
    </row>
    <row r="99" spans="1:13" ht="26" x14ac:dyDescent="0.6">
      <c r="A99" s="18"/>
      <c r="B99" s="20">
        <v>44391</v>
      </c>
      <c r="C99" s="20" t="s">
        <v>84</v>
      </c>
      <c r="D99" s="18">
        <v>30</v>
      </c>
      <c r="E99" s="18"/>
      <c r="F99" s="17">
        <f t="shared" si="26"/>
        <v>0</v>
      </c>
      <c r="G99" s="17">
        <f t="shared" si="2"/>
        <v>0</v>
      </c>
      <c r="H99" s="17"/>
      <c r="I99" s="21">
        <f t="shared" si="27"/>
        <v>0</v>
      </c>
      <c r="J99" s="17"/>
      <c r="K99" s="18"/>
      <c r="L99" s="18"/>
      <c r="M99" s="18"/>
    </row>
    <row r="100" spans="1:13" ht="26" x14ac:dyDescent="0.6">
      <c r="A100" s="18"/>
      <c r="B100" s="20">
        <v>44550</v>
      </c>
      <c r="C100" s="20" t="s">
        <v>85</v>
      </c>
      <c r="D100" s="18">
        <v>30</v>
      </c>
      <c r="E100" s="18"/>
      <c r="F100" s="17">
        <f>+E100*D100</f>
        <v>0</v>
      </c>
      <c r="G100" s="17">
        <f>0.9999*F100</f>
        <v>0</v>
      </c>
      <c r="H100" s="17"/>
      <c r="I100" s="21">
        <f>+$K$4*G100</f>
        <v>0</v>
      </c>
      <c r="J100" s="17"/>
      <c r="K100" s="18"/>
      <c r="L100" s="18"/>
      <c r="M100" s="18"/>
    </row>
    <row r="101" spans="1:13" ht="26" x14ac:dyDescent="0.6">
      <c r="A101" s="18"/>
      <c r="B101" s="20">
        <v>44391</v>
      </c>
      <c r="C101" s="20" t="s">
        <v>86</v>
      </c>
      <c r="D101" s="18">
        <v>15</v>
      </c>
      <c r="E101" s="18"/>
      <c r="F101" s="17">
        <f t="shared" si="26"/>
        <v>0</v>
      </c>
      <c r="G101" s="17">
        <f t="shared" si="2"/>
        <v>0</v>
      </c>
      <c r="H101" s="17"/>
      <c r="I101" s="21">
        <f t="shared" si="27"/>
        <v>0</v>
      </c>
      <c r="J101" s="17"/>
      <c r="K101" s="18"/>
      <c r="L101" s="18"/>
      <c r="M101" s="18"/>
    </row>
    <row r="102" spans="1:13" ht="26" x14ac:dyDescent="0.6">
      <c r="A102" s="18"/>
      <c r="B102" s="73">
        <v>44391</v>
      </c>
      <c r="C102" s="20" t="s">
        <v>158</v>
      </c>
      <c r="D102" s="18">
        <v>8</v>
      </c>
      <c r="E102" s="18"/>
      <c r="F102" s="17">
        <f t="shared" si="26"/>
        <v>0</v>
      </c>
      <c r="G102" s="17">
        <f t="shared" si="2"/>
        <v>0</v>
      </c>
      <c r="H102" s="17"/>
      <c r="I102" s="21">
        <f t="shared" si="27"/>
        <v>0</v>
      </c>
      <c r="J102" s="17"/>
      <c r="K102" s="18"/>
      <c r="L102" s="18"/>
      <c r="M102" s="18"/>
    </row>
    <row r="103" spans="1:13" ht="26" x14ac:dyDescent="0.6">
      <c r="A103" s="18"/>
      <c r="B103" s="20">
        <v>44391</v>
      </c>
      <c r="C103" s="20" t="s">
        <v>87</v>
      </c>
      <c r="D103" s="18">
        <v>3</v>
      </c>
      <c r="E103" s="18"/>
      <c r="F103" s="17">
        <f t="shared" si="26"/>
        <v>0</v>
      </c>
      <c r="G103" s="17">
        <f t="shared" si="2"/>
        <v>0</v>
      </c>
      <c r="H103" s="17"/>
      <c r="I103" s="21">
        <f t="shared" si="27"/>
        <v>0</v>
      </c>
      <c r="J103" s="17"/>
      <c r="K103" s="18"/>
      <c r="L103" s="18"/>
      <c r="M103" s="18"/>
    </row>
    <row r="104" spans="1:13" ht="26" x14ac:dyDescent="0.6">
      <c r="A104" s="18"/>
      <c r="B104" s="20">
        <v>44391</v>
      </c>
      <c r="C104" s="20" t="s">
        <v>88</v>
      </c>
      <c r="D104" s="18">
        <v>1</v>
      </c>
      <c r="E104" s="18"/>
      <c r="F104" s="17">
        <f t="shared" si="26"/>
        <v>0</v>
      </c>
      <c r="G104" s="17">
        <f t="shared" ref="G104:G142" si="28">0.9999*F104</f>
        <v>0</v>
      </c>
      <c r="H104" s="17"/>
      <c r="I104" s="21">
        <f t="shared" si="27"/>
        <v>0</v>
      </c>
      <c r="J104" s="17"/>
      <c r="K104" s="18"/>
      <c r="L104" s="18"/>
      <c r="M104" s="18"/>
    </row>
    <row r="105" spans="1:13" ht="26" x14ac:dyDescent="0.6">
      <c r="A105" s="18"/>
      <c r="B105" s="20"/>
      <c r="C105" s="32"/>
      <c r="D105" s="18"/>
      <c r="E105" s="18"/>
      <c r="F105" s="17"/>
      <c r="G105" s="17"/>
      <c r="H105" s="17"/>
      <c r="I105" s="21"/>
      <c r="J105" s="17"/>
      <c r="K105" s="18"/>
      <c r="L105" s="18"/>
      <c r="M105" s="18"/>
    </row>
    <row r="106" spans="1:13" ht="26" x14ac:dyDescent="0.6">
      <c r="A106" s="18"/>
      <c r="B106" s="20">
        <v>44391</v>
      </c>
      <c r="C106" s="32" t="s">
        <v>44</v>
      </c>
      <c r="D106" s="18">
        <v>31.1</v>
      </c>
      <c r="E106" s="18"/>
      <c r="F106" s="17">
        <f t="shared" si="26"/>
        <v>0</v>
      </c>
      <c r="G106" s="17">
        <f t="shared" si="28"/>
        <v>0</v>
      </c>
      <c r="H106" s="17"/>
      <c r="I106" s="21">
        <f t="shared" si="27"/>
        <v>0</v>
      </c>
      <c r="J106" s="17"/>
      <c r="K106" s="18"/>
      <c r="L106" s="18"/>
      <c r="M106" s="18"/>
    </row>
    <row r="107" spans="1:13" ht="26" x14ac:dyDescent="0.6">
      <c r="A107" s="18"/>
      <c r="B107" s="20">
        <v>44568</v>
      </c>
      <c r="C107" s="32" t="s">
        <v>112</v>
      </c>
      <c r="D107" s="18">
        <v>31.1</v>
      </c>
      <c r="E107" s="18"/>
      <c r="F107" s="17">
        <f t="shared" si="26"/>
        <v>0</v>
      </c>
      <c r="G107" s="17">
        <f t="shared" si="28"/>
        <v>0</v>
      </c>
      <c r="H107" s="17"/>
      <c r="I107" s="21">
        <f t="shared" si="27"/>
        <v>0</v>
      </c>
      <c r="J107" s="17"/>
      <c r="K107" s="18"/>
      <c r="L107" s="18"/>
      <c r="M107" s="18"/>
    </row>
    <row r="108" spans="1:13" ht="26" x14ac:dyDescent="0.6">
      <c r="A108" s="18"/>
      <c r="B108" s="20">
        <v>44391</v>
      </c>
      <c r="C108" s="32" t="s">
        <v>45</v>
      </c>
      <c r="D108" s="18">
        <f>+D106/2</f>
        <v>15.55</v>
      </c>
      <c r="E108" s="18"/>
      <c r="F108" s="17">
        <f>+E108*D108</f>
        <v>0</v>
      </c>
      <c r="G108" s="17">
        <f t="shared" si="28"/>
        <v>0</v>
      </c>
      <c r="H108" s="17"/>
      <c r="I108" s="21">
        <f>+$K$4*G108</f>
        <v>0</v>
      </c>
      <c r="J108" s="17"/>
      <c r="K108" s="18"/>
      <c r="L108" s="18"/>
      <c r="M108" s="18"/>
    </row>
    <row r="109" spans="1:13" ht="26" x14ac:dyDescent="0.6">
      <c r="A109" s="18"/>
      <c r="B109" s="73">
        <v>44391</v>
      </c>
      <c r="C109" s="32" t="s">
        <v>46</v>
      </c>
      <c r="D109" s="18">
        <f>+D106/4</f>
        <v>7.7750000000000004</v>
      </c>
      <c r="E109" s="18"/>
      <c r="F109" s="17">
        <f>+E109*D109</f>
        <v>0</v>
      </c>
      <c r="G109" s="17">
        <f t="shared" si="28"/>
        <v>0</v>
      </c>
      <c r="H109" s="17"/>
      <c r="I109" s="21">
        <f>+$K$4*G109</f>
        <v>0</v>
      </c>
      <c r="J109" s="89"/>
      <c r="K109" s="18"/>
      <c r="L109" s="18"/>
      <c r="M109" s="18"/>
    </row>
    <row r="110" spans="1:13" ht="26" x14ac:dyDescent="0.6">
      <c r="A110" s="18"/>
      <c r="B110" s="20">
        <v>44391</v>
      </c>
      <c r="C110" s="32" t="s">
        <v>47</v>
      </c>
      <c r="D110" s="18">
        <f>+D106/10</f>
        <v>3.1100000000000003</v>
      </c>
      <c r="E110" s="18"/>
      <c r="F110" s="17">
        <f>+E110*D110</f>
        <v>0</v>
      </c>
      <c r="G110" s="17">
        <f t="shared" si="28"/>
        <v>0</v>
      </c>
      <c r="H110" s="17"/>
      <c r="I110" s="21">
        <f>+$K$4*G110</f>
        <v>0</v>
      </c>
      <c r="J110" s="17"/>
      <c r="K110" s="18"/>
      <c r="L110" s="18"/>
      <c r="M110" s="18"/>
    </row>
    <row r="111" spans="1:13" ht="26" x14ac:dyDescent="0.6">
      <c r="A111" s="18"/>
      <c r="B111" s="20"/>
      <c r="C111" s="32"/>
      <c r="D111" s="18"/>
      <c r="E111" s="18"/>
      <c r="F111" s="17"/>
      <c r="G111" s="17"/>
      <c r="H111" s="17"/>
      <c r="I111" s="21"/>
      <c r="J111" s="17"/>
      <c r="K111" s="18"/>
      <c r="L111" s="18"/>
      <c r="M111" s="18"/>
    </row>
    <row r="112" spans="1:13" ht="26" x14ac:dyDescent="0.6">
      <c r="A112" s="18"/>
      <c r="B112" s="20">
        <v>44391</v>
      </c>
      <c r="C112" s="32" t="s">
        <v>48</v>
      </c>
      <c r="D112" s="18">
        <v>31.1</v>
      </c>
      <c r="E112" s="18"/>
      <c r="F112" s="17">
        <f>+E112*D112</f>
        <v>0</v>
      </c>
      <c r="G112" s="17">
        <f t="shared" si="28"/>
        <v>0</v>
      </c>
      <c r="H112" s="17"/>
      <c r="I112" s="21">
        <f>+$K$4*G112</f>
        <v>0</v>
      </c>
      <c r="J112" s="17"/>
      <c r="K112" s="18"/>
      <c r="L112" s="18"/>
      <c r="M112" s="18"/>
    </row>
    <row r="113" spans="1:13" ht="26" x14ac:dyDescent="0.6">
      <c r="A113" s="18"/>
      <c r="B113" s="20">
        <v>44391</v>
      </c>
      <c r="C113" s="32" t="s">
        <v>49</v>
      </c>
      <c r="D113" s="18">
        <f>+D112/2</f>
        <v>15.55</v>
      </c>
      <c r="E113" s="18"/>
      <c r="F113" s="17">
        <f>+E113*D113</f>
        <v>0</v>
      </c>
      <c r="G113" s="17">
        <f t="shared" si="28"/>
        <v>0</v>
      </c>
      <c r="H113" s="17"/>
      <c r="I113" s="21">
        <f>+$K$4*G113</f>
        <v>0</v>
      </c>
      <c r="J113" s="17"/>
      <c r="K113" s="18"/>
      <c r="L113" s="18"/>
      <c r="M113" s="18"/>
    </row>
    <row r="114" spans="1:13" ht="26" x14ac:dyDescent="0.6">
      <c r="A114" s="18"/>
      <c r="B114" s="20">
        <v>44391</v>
      </c>
      <c r="C114" s="32" t="s">
        <v>50</v>
      </c>
      <c r="D114" s="18">
        <f>+D112/4</f>
        <v>7.7750000000000004</v>
      </c>
      <c r="E114" s="18"/>
      <c r="F114" s="17">
        <f>+E114*D114</f>
        <v>0</v>
      </c>
      <c r="G114" s="17">
        <f t="shared" si="28"/>
        <v>0</v>
      </c>
      <c r="H114" s="17"/>
      <c r="I114" s="21">
        <f>+$K$4*G114</f>
        <v>0</v>
      </c>
      <c r="J114" s="89"/>
      <c r="K114" s="18"/>
      <c r="L114" s="18"/>
      <c r="M114" s="18"/>
    </row>
    <row r="115" spans="1:13" ht="26" x14ac:dyDescent="0.6">
      <c r="A115" s="18"/>
      <c r="B115" s="20">
        <v>44391</v>
      </c>
      <c r="C115" s="32" t="s">
        <v>51</v>
      </c>
      <c r="D115" s="18">
        <f>+D112/10</f>
        <v>3.1100000000000003</v>
      </c>
      <c r="E115" s="18"/>
      <c r="F115" s="17">
        <f>+E115*D115</f>
        <v>0</v>
      </c>
      <c r="G115" s="17">
        <f t="shared" si="28"/>
        <v>0</v>
      </c>
      <c r="H115" s="17"/>
      <c r="I115" s="21">
        <f>+$K$4*G115</f>
        <v>0</v>
      </c>
      <c r="J115" s="89"/>
      <c r="K115" s="18"/>
      <c r="L115" s="18"/>
      <c r="M115" s="18"/>
    </row>
    <row r="116" spans="1:13" ht="26" x14ac:dyDescent="0.6">
      <c r="A116" s="18"/>
      <c r="B116" s="20"/>
      <c r="C116" s="32"/>
      <c r="D116" s="18"/>
      <c r="E116" s="18"/>
      <c r="F116" s="17"/>
      <c r="G116" s="17"/>
      <c r="H116" s="17"/>
      <c r="I116" s="21"/>
      <c r="J116" s="17"/>
      <c r="K116" s="18"/>
      <c r="L116" s="18"/>
      <c r="M116" s="18"/>
    </row>
    <row r="117" spans="1:13" ht="26" x14ac:dyDescent="0.6">
      <c r="A117" s="18"/>
      <c r="B117" s="73">
        <v>44391</v>
      </c>
      <c r="C117" s="32" t="s">
        <v>150</v>
      </c>
      <c r="D117" s="18">
        <v>31.1</v>
      </c>
      <c r="E117" s="18"/>
      <c r="F117" s="17">
        <f>+E117*D117</f>
        <v>0</v>
      </c>
      <c r="G117" s="17">
        <f t="shared" si="28"/>
        <v>0</v>
      </c>
      <c r="H117" s="17"/>
      <c r="I117" s="21">
        <f t="shared" ref="I117:I120" si="29">+$K$4*G117</f>
        <v>0</v>
      </c>
      <c r="J117" s="17"/>
      <c r="K117" s="18"/>
      <c r="L117" s="18"/>
      <c r="M117" s="18"/>
    </row>
    <row r="118" spans="1:13" ht="26" x14ac:dyDescent="0.6">
      <c r="A118" s="18"/>
      <c r="B118" s="73">
        <v>44391</v>
      </c>
      <c r="C118" s="32" t="s">
        <v>52</v>
      </c>
      <c r="D118" s="18">
        <f>+D117/2</f>
        <v>15.55</v>
      </c>
      <c r="E118" s="18"/>
      <c r="F118" s="17">
        <f t="shared" ref="F118" si="30">+E118*D118</f>
        <v>0</v>
      </c>
      <c r="G118" s="17">
        <f t="shared" si="28"/>
        <v>0</v>
      </c>
      <c r="H118" s="17"/>
      <c r="I118" s="21">
        <f t="shared" si="29"/>
        <v>0</v>
      </c>
      <c r="J118" s="17"/>
      <c r="K118" s="18"/>
      <c r="L118" s="18"/>
      <c r="M118" s="18"/>
    </row>
    <row r="119" spans="1:13" ht="26" x14ac:dyDescent="0.6">
      <c r="A119" s="18"/>
      <c r="B119" s="73">
        <v>44391</v>
      </c>
      <c r="C119" s="32" t="s">
        <v>53</v>
      </c>
      <c r="D119" s="18">
        <f>++D117/4</f>
        <v>7.7750000000000004</v>
      </c>
      <c r="E119" s="18"/>
      <c r="F119" s="17"/>
      <c r="G119" s="17">
        <f t="shared" si="28"/>
        <v>0</v>
      </c>
      <c r="H119" s="17"/>
      <c r="I119" s="21">
        <f t="shared" si="29"/>
        <v>0</v>
      </c>
      <c r="J119" s="17"/>
      <c r="K119" s="18"/>
      <c r="L119" s="18"/>
      <c r="M119" s="18"/>
    </row>
    <row r="120" spans="1:13" ht="26" x14ac:dyDescent="0.6">
      <c r="A120" s="18"/>
      <c r="B120" s="20">
        <v>44391</v>
      </c>
      <c r="C120" s="32" t="s">
        <v>54</v>
      </c>
      <c r="D120" s="18">
        <f>+D117/10</f>
        <v>3.1100000000000003</v>
      </c>
      <c r="E120" s="18"/>
      <c r="F120" s="17"/>
      <c r="G120" s="17">
        <f t="shared" si="28"/>
        <v>0</v>
      </c>
      <c r="H120" s="17"/>
      <c r="I120" s="21">
        <f t="shared" si="29"/>
        <v>0</v>
      </c>
      <c r="J120" s="17"/>
      <c r="K120" s="18"/>
      <c r="L120" s="18"/>
      <c r="M120" s="18"/>
    </row>
    <row r="121" spans="1:13" ht="26" x14ac:dyDescent="0.6">
      <c r="A121" s="18"/>
      <c r="B121" s="20"/>
      <c r="C121" s="32"/>
      <c r="D121" s="18"/>
      <c r="E121" s="18"/>
      <c r="F121" s="17"/>
      <c r="G121" s="17"/>
      <c r="H121" s="17"/>
      <c r="I121" s="21"/>
      <c r="J121" s="17"/>
      <c r="K121" s="18"/>
      <c r="L121" s="18"/>
      <c r="M121" s="18"/>
    </row>
    <row r="122" spans="1:13" ht="26" x14ac:dyDescent="0.6">
      <c r="A122" s="18"/>
      <c r="B122" s="20"/>
      <c r="C122" s="32" t="s">
        <v>151</v>
      </c>
      <c r="D122" s="18">
        <v>31.1</v>
      </c>
      <c r="E122" s="18"/>
      <c r="F122" s="17">
        <f>+E122*D122</f>
        <v>0</v>
      </c>
      <c r="G122" s="17">
        <f t="shared" si="28"/>
        <v>0</v>
      </c>
      <c r="H122" s="17"/>
      <c r="I122" s="21">
        <f>+$K$4*G122</f>
        <v>0</v>
      </c>
      <c r="J122" s="17"/>
      <c r="K122" s="18"/>
      <c r="L122" s="18"/>
      <c r="M122" s="18"/>
    </row>
    <row r="123" spans="1:13" ht="26" x14ac:dyDescent="0.6">
      <c r="A123" s="18"/>
      <c r="B123" s="20"/>
      <c r="C123" s="32" t="s">
        <v>152</v>
      </c>
      <c r="D123" s="18">
        <f>+D122/4</f>
        <v>7.7750000000000004</v>
      </c>
      <c r="E123" s="18"/>
      <c r="F123" s="17">
        <f>+E123*D123</f>
        <v>0</v>
      </c>
      <c r="G123" s="17">
        <f t="shared" si="28"/>
        <v>0</v>
      </c>
      <c r="H123" s="17"/>
      <c r="I123" s="21">
        <f>+$K$4*G123</f>
        <v>0</v>
      </c>
      <c r="J123" s="89"/>
      <c r="K123" s="18"/>
      <c r="L123" s="18"/>
      <c r="M123" s="18"/>
    </row>
    <row r="124" spans="1:13" ht="26" x14ac:dyDescent="0.6">
      <c r="A124" s="18"/>
      <c r="B124" s="20"/>
      <c r="C124" s="32" t="s">
        <v>153</v>
      </c>
      <c r="D124" s="18"/>
      <c r="E124" s="18"/>
      <c r="F124" s="17">
        <f>+E124*D124</f>
        <v>0</v>
      </c>
      <c r="G124" s="17">
        <f t="shared" si="28"/>
        <v>0</v>
      </c>
      <c r="H124" s="17"/>
      <c r="I124" s="21">
        <f>+$K$4*G124</f>
        <v>0</v>
      </c>
      <c r="J124" s="17"/>
      <c r="K124" s="18" t="s">
        <v>154</v>
      </c>
      <c r="L124" s="18"/>
      <c r="M124" s="18"/>
    </row>
    <row r="125" spans="1:13" ht="26" x14ac:dyDescent="0.6">
      <c r="A125" s="18"/>
      <c r="B125" s="20"/>
      <c r="C125" s="32" t="s">
        <v>155</v>
      </c>
      <c r="D125" s="18"/>
      <c r="E125" s="18"/>
      <c r="F125" s="17">
        <f>+E125*D125</f>
        <v>0</v>
      </c>
      <c r="G125" s="17">
        <f t="shared" si="28"/>
        <v>0</v>
      </c>
      <c r="H125" s="17"/>
      <c r="I125" s="21">
        <f>+$K$4*G125</f>
        <v>0</v>
      </c>
      <c r="J125" s="17"/>
      <c r="K125" s="18"/>
      <c r="L125" s="18"/>
      <c r="M125" s="18"/>
    </row>
    <row r="126" spans="1:13" ht="26" x14ac:dyDescent="0.6">
      <c r="A126" s="18"/>
      <c r="B126" s="20"/>
      <c r="C126" s="78" t="s">
        <v>156</v>
      </c>
      <c r="D126" s="18"/>
      <c r="E126" s="18"/>
      <c r="F126" s="17">
        <f t="shared" ref="F126:F128" si="31">+E126*D126</f>
        <v>0</v>
      </c>
      <c r="G126" s="17">
        <f t="shared" ref="G126:G128" si="32">0.9999*F126</f>
        <v>0</v>
      </c>
      <c r="H126" s="17"/>
      <c r="I126" s="21">
        <f t="shared" ref="I126:I128" si="33">+$K$4*G126</f>
        <v>0</v>
      </c>
      <c r="J126" s="17"/>
      <c r="K126" s="18"/>
      <c r="L126" s="18"/>
      <c r="M126" s="18"/>
    </row>
    <row r="127" spans="1:13" ht="26" x14ac:dyDescent="0.6">
      <c r="A127" s="18"/>
      <c r="B127" s="20"/>
      <c r="C127" s="32" t="s">
        <v>157</v>
      </c>
      <c r="D127" s="18">
        <v>3.11</v>
      </c>
      <c r="E127" s="18"/>
      <c r="F127" s="17">
        <f t="shared" si="31"/>
        <v>0</v>
      </c>
      <c r="G127" s="17">
        <f t="shared" si="32"/>
        <v>0</v>
      </c>
      <c r="H127" s="17"/>
      <c r="I127" s="21">
        <f t="shared" si="33"/>
        <v>0</v>
      </c>
      <c r="J127" s="89"/>
      <c r="K127" s="18"/>
      <c r="L127" s="18"/>
      <c r="M127" s="18"/>
    </row>
    <row r="128" spans="1:13" ht="26" x14ac:dyDescent="0.6">
      <c r="A128" s="18"/>
      <c r="B128" s="20"/>
      <c r="C128" s="32" t="s">
        <v>292</v>
      </c>
      <c r="D128" s="18">
        <f>31.1/2</f>
        <v>15.55</v>
      </c>
      <c r="E128" s="18"/>
      <c r="F128" s="17">
        <f t="shared" si="31"/>
        <v>0</v>
      </c>
      <c r="G128" s="17">
        <f t="shared" si="32"/>
        <v>0</v>
      </c>
      <c r="H128" s="17"/>
      <c r="I128" s="21">
        <f t="shared" si="33"/>
        <v>0</v>
      </c>
      <c r="J128" s="89"/>
      <c r="K128" s="18"/>
      <c r="L128" s="18"/>
      <c r="M128" s="18"/>
    </row>
    <row r="129" spans="1:13" ht="26" x14ac:dyDescent="0.6">
      <c r="A129" s="18"/>
      <c r="B129" s="20"/>
      <c r="C129" s="32"/>
      <c r="D129" s="18"/>
      <c r="E129" s="18"/>
      <c r="F129" s="17">
        <f t="shared" ref="F129:F130" si="34">+E129*D129</f>
        <v>0</v>
      </c>
      <c r="G129" s="17">
        <f t="shared" ref="G129:G130" si="35">0.9999*F129</f>
        <v>0</v>
      </c>
      <c r="H129" s="17"/>
      <c r="I129" s="21">
        <f t="shared" ref="I129:I130" si="36">+$K$4*G129</f>
        <v>0</v>
      </c>
      <c r="J129" s="17"/>
      <c r="K129" s="18"/>
      <c r="L129" s="18"/>
      <c r="M129" s="18"/>
    </row>
    <row r="130" spans="1:13" ht="26" x14ac:dyDescent="0.6">
      <c r="A130" s="18"/>
      <c r="B130" s="20"/>
      <c r="C130" s="32"/>
      <c r="D130" s="18"/>
      <c r="E130" s="18"/>
      <c r="F130" s="17">
        <f t="shared" si="34"/>
        <v>0</v>
      </c>
      <c r="G130" s="17">
        <f t="shared" si="35"/>
        <v>0</v>
      </c>
      <c r="H130" s="17"/>
      <c r="I130" s="21">
        <f t="shared" si="36"/>
        <v>0</v>
      </c>
      <c r="J130" s="17"/>
      <c r="K130" s="18"/>
      <c r="L130" s="18"/>
      <c r="M130" s="18"/>
    </row>
    <row r="131" spans="1:13" ht="26" x14ac:dyDescent="0.6">
      <c r="A131" s="18"/>
      <c r="B131" s="20"/>
      <c r="C131" s="32"/>
      <c r="D131" s="18"/>
      <c r="E131" s="18"/>
      <c r="F131" s="17"/>
      <c r="G131" s="17"/>
      <c r="H131" s="17"/>
      <c r="I131" s="21"/>
      <c r="J131" s="17"/>
      <c r="K131" s="18"/>
      <c r="L131" s="18"/>
      <c r="M131" s="18"/>
    </row>
    <row r="132" spans="1:13" ht="26" x14ac:dyDescent="0.6">
      <c r="A132" s="18"/>
      <c r="B132" s="20"/>
      <c r="C132" s="32" t="s">
        <v>55</v>
      </c>
      <c r="D132" s="18">
        <v>1.754</v>
      </c>
      <c r="E132" s="18">
        <f>24+4-1</f>
        <v>27</v>
      </c>
      <c r="F132" s="17">
        <f t="shared" ref="F132:F139" si="37">+E132*D132</f>
        <v>47.357999999999997</v>
      </c>
      <c r="G132" s="17">
        <f>0.916*F132</f>
        <v>43.379928</v>
      </c>
      <c r="H132" s="17"/>
      <c r="I132" s="21">
        <f t="shared" ref="I132:I139" si="38">+$K$4*G132</f>
        <v>38264.566890239999</v>
      </c>
      <c r="J132" s="89"/>
      <c r="K132" s="18"/>
      <c r="L132" s="18"/>
      <c r="M132" s="18"/>
    </row>
    <row r="133" spans="1:13" ht="26" x14ac:dyDescent="0.6">
      <c r="A133" s="18"/>
      <c r="B133" s="20"/>
      <c r="C133" s="32" t="s">
        <v>56</v>
      </c>
      <c r="D133" s="18">
        <v>3.58</v>
      </c>
      <c r="E133" s="18">
        <f>13-1</f>
        <v>12</v>
      </c>
      <c r="F133" s="17">
        <f t="shared" si="37"/>
        <v>42.96</v>
      </c>
      <c r="G133" s="17">
        <f>0.916*F133</f>
        <v>39.35136</v>
      </c>
      <c r="H133" s="17"/>
      <c r="I133" s="21">
        <f t="shared" si="38"/>
        <v>34711.047628799999</v>
      </c>
      <c r="J133" s="89"/>
      <c r="K133" s="18"/>
      <c r="L133" s="18"/>
      <c r="M133" s="18"/>
    </row>
    <row r="134" spans="1:13" ht="26" x14ac:dyDescent="0.6">
      <c r="A134" s="18"/>
      <c r="B134" s="20"/>
      <c r="C134" s="32" t="s">
        <v>57</v>
      </c>
      <c r="D134" s="18">
        <v>7.016</v>
      </c>
      <c r="E134" s="18">
        <v>3</v>
      </c>
      <c r="F134" s="17">
        <f t="shared" si="37"/>
        <v>21.048000000000002</v>
      </c>
      <c r="G134" s="17">
        <f>0.916*F134</f>
        <v>19.279968000000004</v>
      </c>
      <c r="H134" s="17"/>
      <c r="I134" s="21">
        <f t="shared" si="38"/>
        <v>17006.474173440005</v>
      </c>
      <c r="J134" s="89"/>
      <c r="K134" s="18"/>
      <c r="L134" s="18"/>
      <c r="M134" s="18"/>
    </row>
    <row r="135" spans="1:13" ht="26" x14ac:dyDescent="0.6">
      <c r="A135" s="18"/>
      <c r="B135" s="20"/>
      <c r="C135" s="32" t="s">
        <v>58</v>
      </c>
      <c r="D135" s="18">
        <v>17.54</v>
      </c>
      <c r="E135" s="18">
        <f>2+1</f>
        <v>3</v>
      </c>
      <c r="F135" s="17">
        <f t="shared" si="37"/>
        <v>52.62</v>
      </c>
      <c r="G135" s="17">
        <f>0.916*F135</f>
        <v>48.199919999999999</v>
      </c>
      <c r="H135" s="17"/>
      <c r="I135" s="21">
        <f t="shared" si="38"/>
        <v>42516.185433600003</v>
      </c>
      <c r="J135" s="89"/>
      <c r="K135" s="18"/>
      <c r="L135" s="18"/>
      <c r="M135" s="18"/>
    </row>
    <row r="136" spans="1:13" ht="26" x14ac:dyDescent="0.6">
      <c r="A136" s="18"/>
      <c r="B136" s="20"/>
      <c r="C136" s="32"/>
      <c r="D136" s="18"/>
      <c r="E136" s="18"/>
      <c r="F136" s="17"/>
      <c r="G136" s="17"/>
      <c r="H136" s="17"/>
      <c r="I136" s="21"/>
      <c r="J136" s="17"/>
      <c r="K136" s="18"/>
      <c r="L136" s="18"/>
      <c r="M136" s="18"/>
    </row>
    <row r="137" spans="1:13" ht="26" x14ac:dyDescent="0.6">
      <c r="A137" s="18"/>
      <c r="B137" s="20"/>
      <c r="C137" s="32" t="s">
        <v>59</v>
      </c>
      <c r="D137" s="18">
        <v>7.2</v>
      </c>
      <c r="E137" s="18"/>
      <c r="F137" s="17">
        <f t="shared" si="37"/>
        <v>0</v>
      </c>
      <c r="G137" s="17">
        <f>0.916*F137</f>
        <v>0</v>
      </c>
      <c r="H137" s="17"/>
      <c r="I137" s="21">
        <f t="shared" si="38"/>
        <v>0</v>
      </c>
      <c r="J137" s="89"/>
      <c r="K137" s="18"/>
      <c r="L137" s="18"/>
      <c r="M137" s="18"/>
    </row>
    <row r="138" spans="1:13" ht="26" x14ac:dyDescent="0.6">
      <c r="A138" s="18"/>
      <c r="B138" s="20"/>
      <c r="C138" s="32" t="s">
        <v>274</v>
      </c>
      <c r="D138" s="18">
        <v>7.2</v>
      </c>
      <c r="E138" s="18"/>
      <c r="F138" s="17">
        <f>+E138*D138</f>
        <v>0</v>
      </c>
      <c r="G138" s="17">
        <f>0.916*F138</f>
        <v>0</v>
      </c>
      <c r="H138" s="17"/>
      <c r="I138" s="21">
        <f t="shared" si="38"/>
        <v>0</v>
      </c>
      <c r="J138" s="89"/>
      <c r="K138" s="18"/>
      <c r="L138" s="18"/>
      <c r="M138" s="18"/>
    </row>
    <row r="139" spans="1:13" ht="26" x14ac:dyDescent="0.6">
      <c r="A139" s="18"/>
      <c r="B139" s="20"/>
      <c r="C139" s="32" t="s">
        <v>275</v>
      </c>
      <c r="D139" s="18">
        <f>7.2/4</f>
        <v>1.8</v>
      </c>
      <c r="E139" s="18"/>
      <c r="F139" s="17">
        <f t="shared" si="37"/>
        <v>0</v>
      </c>
      <c r="G139" s="17">
        <f>0.916*F139</f>
        <v>0</v>
      </c>
      <c r="H139" s="17"/>
      <c r="I139" s="21">
        <f t="shared" si="38"/>
        <v>0</v>
      </c>
      <c r="J139" s="89"/>
      <c r="K139" s="18"/>
      <c r="L139" s="18"/>
      <c r="M139" s="18"/>
    </row>
    <row r="140" spans="1:13" ht="26" x14ac:dyDescent="0.6">
      <c r="A140" s="18"/>
      <c r="B140" s="20"/>
      <c r="C140" s="32"/>
      <c r="D140" s="18"/>
      <c r="E140" s="18"/>
      <c r="F140" s="17"/>
      <c r="G140" s="17"/>
      <c r="H140" s="17"/>
      <c r="I140" s="21"/>
      <c r="J140" s="17"/>
      <c r="K140" s="18"/>
      <c r="L140" s="18"/>
      <c r="M140" s="18"/>
    </row>
    <row r="141" spans="1:13" ht="26" x14ac:dyDescent="0.6">
      <c r="A141" s="18"/>
      <c r="B141" s="20"/>
      <c r="C141" s="32"/>
      <c r="D141" s="18"/>
      <c r="E141" s="18"/>
      <c r="F141" s="17"/>
      <c r="G141" s="17"/>
      <c r="H141" s="17"/>
      <c r="I141" s="21"/>
      <c r="J141" s="17"/>
      <c r="K141" s="18"/>
      <c r="L141" s="18"/>
      <c r="M141" s="18"/>
    </row>
    <row r="142" spans="1:13" ht="26" x14ac:dyDescent="0.6">
      <c r="A142" s="18"/>
      <c r="B142" s="20"/>
      <c r="C142" s="32" t="s">
        <v>60</v>
      </c>
      <c r="D142" s="18">
        <v>0.5</v>
      </c>
      <c r="E142" s="18"/>
      <c r="F142" s="17">
        <f t="shared" ref="F142:F143" si="39">+E142*D142</f>
        <v>0</v>
      </c>
      <c r="G142" s="17">
        <f t="shared" si="28"/>
        <v>0</v>
      </c>
      <c r="H142" s="17"/>
      <c r="I142" s="21">
        <f t="shared" ref="I142:I143" si="40">+$K$4*G142</f>
        <v>0</v>
      </c>
      <c r="J142" s="86"/>
      <c r="K142" s="18"/>
      <c r="L142" s="18"/>
      <c r="M142" s="18"/>
    </row>
    <row r="143" spans="1:13" ht="26" x14ac:dyDescent="0.6">
      <c r="A143" s="18"/>
      <c r="B143" s="20"/>
      <c r="C143" s="32" t="s">
        <v>276</v>
      </c>
      <c r="D143" s="18">
        <v>0.5</v>
      </c>
      <c r="E143" s="18"/>
      <c r="F143" s="17">
        <f t="shared" si="39"/>
        <v>0</v>
      </c>
      <c r="G143" s="17">
        <f t="shared" ref="G143" si="41">0.9999*F143</f>
        <v>0</v>
      </c>
      <c r="H143" s="17"/>
      <c r="I143" s="21">
        <f t="shared" si="40"/>
        <v>0</v>
      </c>
      <c r="J143" s="86"/>
      <c r="K143" s="18"/>
      <c r="L143" s="18"/>
      <c r="M143" s="18"/>
    </row>
    <row r="144" spans="1:13" ht="26" x14ac:dyDescent="0.6">
      <c r="A144" s="18"/>
      <c r="B144" s="20"/>
      <c r="C144" s="32"/>
      <c r="D144" s="18"/>
      <c r="E144" s="18"/>
      <c r="F144" s="17"/>
      <c r="G144" s="17"/>
      <c r="H144" s="17"/>
      <c r="I144" s="21" t="s">
        <v>91</v>
      </c>
      <c r="J144" s="17"/>
      <c r="K144" s="18"/>
      <c r="L144" s="18"/>
      <c r="M144" s="18"/>
    </row>
    <row r="145" spans="1:13" ht="26" x14ac:dyDescent="0.6">
      <c r="A145" s="18"/>
      <c r="B145" s="20"/>
      <c r="C145" s="32" t="s">
        <v>61</v>
      </c>
      <c r="D145" s="18">
        <v>0.311</v>
      </c>
      <c r="E145" s="18"/>
      <c r="F145" s="17">
        <f>+E145*D145</f>
        <v>0</v>
      </c>
      <c r="G145" s="17">
        <f>0.9999*F145</f>
        <v>0</v>
      </c>
      <c r="H145" s="17"/>
      <c r="I145" s="21">
        <f>+$K$4*G145</f>
        <v>0</v>
      </c>
      <c r="J145" s="86"/>
      <c r="K145" s="18"/>
      <c r="L145" s="18"/>
      <c r="M145" s="18"/>
    </row>
    <row r="146" spans="1:13" ht="26" x14ac:dyDescent="0.6">
      <c r="A146" s="18"/>
      <c r="B146" s="20"/>
      <c r="C146" s="32"/>
      <c r="D146" s="18">
        <v>0</v>
      </c>
      <c r="E146" s="18"/>
      <c r="F146" s="17">
        <f t="shared" ref="F146:F147" si="42">+E146*D146</f>
        <v>0</v>
      </c>
      <c r="G146" s="17">
        <f t="shared" ref="G146" si="43">0.9*F146</f>
        <v>0</v>
      </c>
      <c r="H146" s="17"/>
      <c r="I146" s="21">
        <f t="shared" ref="I146:I147" si="44">+$K$4*G146</f>
        <v>0</v>
      </c>
      <c r="J146" s="43"/>
      <c r="K146" s="18"/>
      <c r="L146" s="18"/>
      <c r="M146" s="18"/>
    </row>
    <row r="147" spans="1:13" ht="26" x14ac:dyDescent="0.6">
      <c r="A147" s="18"/>
      <c r="B147" s="20"/>
      <c r="C147" s="32" t="s">
        <v>129</v>
      </c>
      <c r="D147" s="18">
        <v>3.11</v>
      </c>
      <c r="E147" s="18"/>
      <c r="F147" s="17">
        <f t="shared" si="42"/>
        <v>0</v>
      </c>
      <c r="G147" s="17">
        <f>0.9999*F147</f>
        <v>0</v>
      </c>
      <c r="H147" s="17"/>
      <c r="I147" s="21">
        <f t="shared" si="44"/>
        <v>0</v>
      </c>
      <c r="J147" s="89"/>
      <c r="K147" s="18"/>
      <c r="L147" s="18"/>
      <c r="M147" s="18"/>
    </row>
    <row r="148" spans="1:13" ht="26" x14ac:dyDescent="0.6">
      <c r="A148" s="18"/>
      <c r="B148" s="20"/>
      <c r="C148" s="32"/>
      <c r="D148" s="18"/>
      <c r="E148" s="18"/>
      <c r="F148" s="17">
        <f t="shared" ref="F148:F165" si="45">+E148*D148</f>
        <v>0</v>
      </c>
      <c r="G148" s="17">
        <f>0.9999*F148</f>
        <v>0</v>
      </c>
      <c r="H148" s="17"/>
      <c r="I148" s="21">
        <f t="shared" ref="I148:I165" si="46">+$K$4*G148</f>
        <v>0</v>
      </c>
      <c r="J148" s="43"/>
      <c r="K148" s="18"/>
      <c r="L148" s="18"/>
      <c r="M148" s="18"/>
    </row>
    <row r="149" spans="1:13" ht="26" x14ac:dyDescent="0.6">
      <c r="A149" s="18"/>
      <c r="B149" s="20"/>
      <c r="C149" s="32" t="s">
        <v>166</v>
      </c>
      <c r="D149" s="18">
        <v>0.5</v>
      </c>
      <c r="E149" s="18"/>
      <c r="F149" s="17">
        <f t="shared" si="45"/>
        <v>0</v>
      </c>
      <c r="G149" s="17">
        <f t="shared" ref="G149:G153" si="47">0.9999*F149</f>
        <v>0</v>
      </c>
      <c r="H149" s="17"/>
      <c r="I149" s="21">
        <f t="shared" si="46"/>
        <v>0</v>
      </c>
      <c r="J149" s="86"/>
      <c r="K149" s="18"/>
      <c r="L149" s="18"/>
      <c r="M149" s="18"/>
    </row>
    <row r="150" spans="1:13" ht="26" x14ac:dyDescent="0.6">
      <c r="A150" s="18"/>
      <c r="B150" s="20"/>
      <c r="C150" s="32" t="s">
        <v>167</v>
      </c>
      <c r="D150" s="18">
        <v>0.5</v>
      </c>
      <c r="E150" s="18"/>
      <c r="F150" s="17">
        <f t="shared" si="45"/>
        <v>0</v>
      </c>
      <c r="G150" s="17">
        <f t="shared" si="47"/>
        <v>0</v>
      </c>
      <c r="H150" s="17"/>
      <c r="I150" s="21">
        <f t="shared" si="46"/>
        <v>0</v>
      </c>
      <c r="J150" s="86"/>
      <c r="K150" s="18"/>
      <c r="L150" s="18"/>
      <c r="M150" s="18"/>
    </row>
    <row r="151" spans="1:13" ht="26" x14ac:dyDescent="0.6">
      <c r="A151" s="18"/>
      <c r="B151" s="20"/>
      <c r="C151" s="32" t="s">
        <v>168</v>
      </c>
      <c r="D151" s="18">
        <v>0.5</v>
      </c>
      <c r="E151" s="18"/>
      <c r="F151" s="17">
        <f t="shared" si="45"/>
        <v>0</v>
      </c>
      <c r="G151" s="17">
        <f t="shared" si="47"/>
        <v>0</v>
      </c>
      <c r="H151" s="17"/>
      <c r="I151" s="21">
        <f t="shared" si="46"/>
        <v>0</v>
      </c>
      <c r="J151" s="86"/>
      <c r="K151" s="18"/>
      <c r="L151" s="18"/>
      <c r="M151" s="18"/>
    </row>
    <row r="152" spans="1:13" ht="26" x14ac:dyDescent="0.6">
      <c r="A152" s="18"/>
      <c r="B152" s="20"/>
      <c r="C152" s="32" t="s">
        <v>169</v>
      </c>
      <c r="D152" s="18">
        <v>0.5</v>
      </c>
      <c r="E152" s="18"/>
      <c r="F152" s="17">
        <f t="shared" si="45"/>
        <v>0</v>
      </c>
      <c r="G152" s="17">
        <f t="shared" si="47"/>
        <v>0</v>
      </c>
      <c r="H152" s="17"/>
      <c r="I152" s="21">
        <f t="shared" si="46"/>
        <v>0</v>
      </c>
      <c r="J152" s="86"/>
      <c r="K152" s="18"/>
      <c r="L152" s="18"/>
      <c r="M152" s="18"/>
    </row>
    <row r="153" spans="1:13" ht="26" x14ac:dyDescent="0.6">
      <c r="A153" s="18"/>
      <c r="B153" s="20"/>
      <c r="C153" s="32" t="s">
        <v>277</v>
      </c>
      <c r="D153" s="18">
        <v>3.1099999999999999E-2</v>
      </c>
      <c r="E153" s="18"/>
      <c r="F153" s="17">
        <f t="shared" si="45"/>
        <v>0</v>
      </c>
      <c r="G153" s="17">
        <f t="shared" si="47"/>
        <v>0</v>
      </c>
      <c r="H153" s="17"/>
      <c r="I153" s="21">
        <f t="shared" si="46"/>
        <v>0</v>
      </c>
      <c r="J153" s="86"/>
      <c r="K153" s="18"/>
      <c r="L153" s="18"/>
      <c r="M153" s="18"/>
    </row>
    <row r="154" spans="1:13" ht="26" x14ac:dyDescent="0.6">
      <c r="A154" s="18"/>
      <c r="B154" s="20"/>
      <c r="C154" s="32" t="s">
        <v>283</v>
      </c>
      <c r="D154" s="18">
        <v>3.5</v>
      </c>
      <c r="E154" s="18"/>
      <c r="F154" s="17">
        <f t="shared" si="45"/>
        <v>0</v>
      </c>
      <c r="G154" s="17">
        <f>0.999*F154</f>
        <v>0</v>
      </c>
      <c r="H154" s="17"/>
      <c r="I154" s="21">
        <f t="shared" si="46"/>
        <v>0</v>
      </c>
      <c r="J154" s="86"/>
      <c r="K154" s="18"/>
      <c r="L154" s="18"/>
      <c r="M154" s="18"/>
    </row>
    <row r="155" spans="1:13" ht="26" x14ac:dyDescent="0.6">
      <c r="A155" s="18"/>
      <c r="B155" s="20"/>
      <c r="C155" s="32" t="s">
        <v>284</v>
      </c>
      <c r="D155" s="18">
        <v>8.9600000000000009</v>
      </c>
      <c r="E155" s="18"/>
      <c r="F155" s="17">
        <f t="shared" si="45"/>
        <v>0</v>
      </c>
      <c r="G155" s="17">
        <f t="shared" ref="G155:G165" si="48">0.9*F155</f>
        <v>0</v>
      </c>
      <c r="H155" s="17"/>
      <c r="I155" s="21">
        <f t="shared" si="46"/>
        <v>0</v>
      </c>
      <c r="J155" s="86"/>
      <c r="K155" s="18"/>
      <c r="L155" s="18"/>
      <c r="M155" s="18"/>
    </row>
    <row r="156" spans="1:13" ht="26" x14ac:dyDescent="0.6">
      <c r="A156" s="18"/>
      <c r="B156" s="20"/>
      <c r="C156" s="32" t="s">
        <v>285</v>
      </c>
      <c r="D156" s="18">
        <v>4.4800000000000004</v>
      </c>
      <c r="E156" s="18"/>
      <c r="F156" s="17">
        <f t="shared" si="45"/>
        <v>0</v>
      </c>
      <c r="G156" s="17">
        <f t="shared" si="48"/>
        <v>0</v>
      </c>
      <c r="H156" s="17"/>
      <c r="I156" s="21">
        <f t="shared" si="46"/>
        <v>0</v>
      </c>
      <c r="J156" s="86"/>
      <c r="K156" s="18"/>
      <c r="L156" s="18"/>
      <c r="M156" s="18"/>
    </row>
    <row r="157" spans="1:13" ht="26" x14ac:dyDescent="0.6">
      <c r="A157" s="18"/>
      <c r="B157" s="20"/>
      <c r="C157" s="32" t="s">
        <v>286</v>
      </c>
      <c r="D157" s="18">
        <v>15.31</v>
      </c>
      <c r="E157" s="18"/>
      <c r="F157" s="17">
        <f t="shared" si="45"/>
        <v>0</v>
      </c>
      <c r="G157" s="17">
        <v>14.7</v>
      </c>
      <c r="H157" s="17"/>
      <c r="I157" s="21">
        <f t="shared" si="46"/>
        <v>12966.575999999999</v>
      </c>
      <c r="J157" s="86"/>
      <c r="K157" s="18"/>
      <c r="L157" s="18"/>
      <c r="M157" s="18"/>
    </row>
    <row r="158" spans="1:13" ht="26" x14ac:dyDescent="0.6">
      <c r="A158" s="18"/>
      <c r="B158" s="20"/>
      <c r="C158" s="32" t="s">
        <v>287</v>
      </c>
      <c r="D158" s="18">
        <v>6.15</v>
      </c>
      <c r="E158" s="18"/>
      <c r="F158" s="17">
        <f t="shared" si="45"/>
        <v>0</v>
      </c>
      <c r="G158" s="17">
        <v>5.6719999999999997</v>
      </c>
      <c r="H158" s="17"/>
      <c r="I158" s="21">
        <f t="shared" si="46"/>
        <v>5003.1577600000001</v>
      </c>
      <c r="J158" s="86"/>
      <c r="K158" s="18"/>
      <c r="L158" s="18"/>
      <c r="M158" s="18"/>
    </row>
    <row r="159" spans="1:13" ht="26" x14ac:dyDescent="0.6">
      <c r="A159" s="18"/>
      <c r="B159" s="20"/>
      <c r="C159" s="32" t="s">
        <v>307</v>
      </c>
      <c r="D159" s="18">
        <v>5.85</v>
      </c>
      <c r="E159" s="18"/>
      <c r="F159" s="17">
        <f t="shared" si="45"/>
        <v>0</v>
      </c>
      <c r="G159" s="17">
        <v>5.4969999999999999</v>
      </c>
      <c r="H159" s="17"/>
      <c r="I159" s="21">
        <f t="shared" si="46"/>
        <v>4848.7937600000005</v>
      </c>
      <c r="J159" s="86"/>
      <c r="K159" s="18"/>
      <c r="L159" s="18"/>
      <c r="M159" s="18"/>
    </row>
    <row r="160" spans="1:13" ht="26" x14ac:dyDescent="0.6">
      <c r="A160" s="18"/>
      <c r="B160" s="20"/>
      <c r="C160" s="32" t="s">
        <v>288</v>
      </c>
      <c r="D160" s="18">
        <v>10.29</v>
      </c>
      <c r="E160" s="18"/>
      <c r="F160" s="17">
        <f t="shared" si="45"/>
        <v>0</v>
      </c>
      <c r="G160" s="17">
        <v>8.4</v>
      </c>
      <c r="H160" s="17"/>
      <c r="I160" s="21">
        <f t="shared" si="46"/>
        <v>7409.4720000000007</v>
      </c>
      <c r="J160" s="86"/>
      <c r="K160" s="18"/>
      <c r="L160" s="18"/>
      <c r="M160" s="18"/>
    </row>
    <row r="161" spans="1:23" ht="26" x14ac:dyDescent="0.6">
      <c r="A161" s="18"/>
      <c r="B161" s="20"/>
      <c r="C161" s="32" t="s">
        <v>289</v>
      </c>
      <c r="D161" s="18">
        <v>8.359</v>
      </c>
      <c r="E161" s="18"/>
      <c r="F161" s="17">
        <f t="shared" si="45"/>
        <v>0</v>
      </c>
      <c r="G161" s="17">
        <f t="shared" si="48"/>
        <v>0</v>
      </c>
      <c r="H161" s="17"/>
      <c r="I161" s="21">
        <f t="shared" si="46"/>
        <v>0</v>
      </c>
      <c r="J161" s="86"/>
      <c r="K161" s="18"/>
      <c r="L161" s="18"/>
      <c r="M161" s="18"/>
    </row>
    <row r="162" spans="1:23" ht="26" x14ac:dyDescent="0.6">
      <c r="A162" s="18"/>
      <c r="B162" s="20"/>
      <c r="C162" s="32" t="s">
        <v>293</v>
      </c>
      <c r="D162" s="18">
        <v>3.4908999999999999</v>
      </c>
      <c r="E162" s="18"/>
      <c r="F162" s="17">
        <f t="shared" si="45"/>
        <v>0</v>
      </c>
      <c r="G162" s="17">
        <f t="shared" si="48"/>
        <v>0</v>
      </c>
      <c r="H162" s="17"/>
      <c r="I162" s="21">
        <f t="shared" si="46"/>
        <v>0</v>
      </c>
      <c r="J162" s="86"/>
      <c r="K162" s="18"/>
      <c r="L162" s="18"/>
      <c r="M162" s="18"/>
    </row>
    <row r="163" spans="1:23" ht="26" x14ac:dyDescent="0.6">
      <c r="A163" s="18"/>
      <c r="B163" s="20"/>
      <c r="C163" s="32"/>
      <c r="D163" s="18">
        <v>0</v>
      </c>
      <c r="E163" s="18">
        <v>0</v>
      </c>
      <c r="F163" s="17">
        <f t="shared" si="45"/>
        <v>0</v>
      </c>
      <c r="G163" s="17">
        <f t="shared" si="48"/>
        <v>0</v>
      </c>
      <c r="H163" s="17"/>
      <c r="I163" s="21">
        <f t="shared" si="46"/>
        <v>0</v>
      </c>
      <c r="J163" s="43"/>
      <c r="K163" s="18"/>
      <c r="L163" s="18"/>
      <c r="M163" s="18"/>
    </row>
    <row r="164" spans="1:23" ht="26" x14ac:dyDescent="0.6">
      <c r="A164" s="18"/>
      <c r="B164" s="20"/>
      <c r="C164" s="32"/>
      <c r="D164" s="18">
        <v>0</v>
      </c>
      <c r="E164" s="18">
        <v>0</v>
      </c>
      <c r="F164" s="17">
        <f t="shared" si="45"/>
        <v>0</v>
      </c>
      <c r="G164" s="17">
        <f t="shared" si="48"/>
        <v>0</v>
      </c>
      <c r="H164" s="17"/>
      <c r="I164" s="21">
        <f t="shared" si="46"/>
        <v>0</v>
      </c>
      <c r="J164" s="43"/>
      <c r="K164" s="18"/>
      <c r="L164" s="18"/>
      <c r="M164" s="18"/>
    </row>
    <row r="165" spans="1:23" ht="26" x14ac:dyDescent="0.6">
      <c r="A165" s="18"/>
      <c r="B165" s="20"/>
      <c r="C165" s="32"/>
      <c r="D165" s="18">
        <v>0</v>
      </c>
      <c r="E165" s="18">
        <v>0</v>
      </c>
      <c r="F165" s="17">
        <f t="shared" si="45"/>
        <v>0</v>
      </c>
      <c r="G165" s="17">
        <f t="shared" si="48"/>
        <v>0</v>
      </c>
      <c r="H165" s="17"/>
      <c r="I165" s="21">
        <f t="shared" si="46"/>
        <v>0</v>
      </c>
      <c r="J165" s="43"/>
      <c r="K165" s="18"/>
      <c r="L165" s="18"/>
      <c r="M165" s="18"/>
    </row>
    <row r="166" spans="1:23" ht="26" x14ac:dyDescent="0.6">
      <c r="A166" s="18"/>
      <c r="B166" s="20"/>
      <c r="C166" s="32"/>
      <c r="D166" s="90">
        <f t="shared" ref="D166:H166" si="49">SUM(D87:D165)</f>
        <v>644.44200000000023</v>
      </c>
      <c r="E166" s="90">
        <f t="shared" si="49"/>
        <v>45</v>
      </c>
      <c r="F166" s="90">
        <f t="shared" si="49"/>
        <v>163.98599999999999</v>
      </c>
      <c r="G166" s="90">
        <f>SUM(G87:G165)</f>
        <v>184.480176</v>
      </c>
      <c r="H166" s="90">
        <f t="shared" si="49"/>
        <v>0</v>
      </c>
      <c r="I166" s="90">
        <f>SUM(I87:I165)</f>
        <v>162726.27364608002</v>
      </c>
      <c r="J166" s="43"/>
      <c r="K166" s="18"/>
      <c r="L166" s="18"/>
      <c r="M166" s="18"/>
    </row>
    <row r="167" spans="1:23" ht="26" x14ac:dyDescent="0.6">
      <c r="A167" s="18"/>
      <c r="B167" s="20"/>
      <c r="C167" s="32"/>
      <c r="D167" s="18"/>
      <c r="E167" s="18"/>
      <c r="F167" s="17"/>
      <c r="G167" s="17"/>
      <c r="H167" s="17"/>
      <c r="I167" s="21"/>
      <c r="J167" s="43"/>
      <c r="K167" s="18"/>
      <c r="L167" s="18"/>
      <c r="M167" s="18"/>
    </row>
    <row r="168" spans="1:23" x14ac:dyDescent="0.35">
      <c r="B168" s="4"/>
      <c r="C168" s="6"/>
      <c r="F168" s="1"/>
      <c r="G168" s="1"/>
      <c r="H168" s="1"/>
      <c r="J168" s="1"/>
    </row>
    <row r="169" spans="1:23" ht="28.5" x14ac:dyDescent="0.65">
      <c r="A169" s="107" t="s">
        <v>62</v>
      </c>
      <c r="B169" s="107"/>
      <c r="C169" s="6"/>
      <c r="F169" s="1"/>
      <c r="G169" s="1"/>
      <c r="H169" s="1"/>
      <c r="J169" s="1"/>
    </row>
    <row r="170" spans="1:23" x14ac:dyDescent="0.35">
      <c r="B170" s="4"/>
      <c r="C170" s="6"/>
      <c r="F170" s="1"/>
      <c r="G170" s="1"/>
      <c r="H170" s="1"/>
      <c r="J170" s="1"/>
    </row>
    <row r="171" spans="1:23" s="102" customFormat="1" ht="26" x14ac:dyDescent="0.6">
      <c r="A171" s="63">
        <v>1460</v>
      </c>
      <c r="B171" s="64">
        <v>45803</v>
      </c>
      <c r="C171" s="99" t="s">
        <v>210</v>
      </c>
      <c r="D171" s="63">
        <v>1.99</v>
      </c>
      <c r="E171" s="63">
        <v>1</v>
      </c>
      <c r="F171" s="100">
        <f t="shared" ref="F171:F197" si="50">+D171</f>
        <v>1.99</v>
      </c>
      <c r="G171" s="100">
        <v>1.667</v>
      </c>
      <c r="H171" s="100">
        <f t="shared" ref="H171" si="51">+D171*580</f>
        <v>1154.2</v>
      </c>
      <c r="I171" s="65">
        <f>+$K$4*G171</f>
        <v>1470.4273600000001</v>
      </c>
      <c r="J171" s="63"/>
      <c r="K171" s="63">
        <v>1882</v>
      </c>
      <c r="L171" s="63"/>
      <c r="M171" s="63">
        <f t="shared" ref="M171:M172" si="52">+K171-I171</f>
        <v>411.57263999999986</v>
      </c>
      <c r="N171" s="101">
        <v>1.5</v>
      </c>
      <c r="O171" s="101">
        <v>15.6</v>
      </c>
      <c r="P171" s="101">
        <v>1.52</v>
      </c>
      <c r="R171" s="101" t="s">
        <v>340</v>
      </c>
      <c r="S171" s="101">
        <v>1888.67</v>
      </c>
      <c r="T171" s="101">
        <f>+S171-H171</f>
        <v>734.47</v>
      </c>
      <c r="U171" s="101">
        <f>+T171*0.2</f>
        <v>146.89400000000001</v>
      </c>
      <c r="V171" s="101">
        <f>+S171-U171</f>
        <v>1741.7760000000001</v>
      </c>
      <c r="W171" s="101"/>
    </row>
    <row r="172" spans="1:23" ht="26" x14ac:dyDescent="0.6">
      <c r="A172" s="72">
        <v>1461</v>
      </c>
      <c r="B172" s="20">
        <v>45803</v>
      </c>
      <c r="C172" s="32" t="s">
        <v>175</v>
      </c>
      <c r="D172" s="18">
        <v>15.58</v>
      </c>
      <c r="E172" s="18">
        <v>1</v>
      </c>
      <c r="F172" s="17">
        <f t="shared" si="50"/>
        <v>15.58</v>
      </c>
      <c r="G172" s="17">
        <v>9.6950000000000003</v>
      </c>
      <c r="H172" s="17">
        <v>6379</v>
      </c>
      <c r="I172" s="21">
        <f t="shared" ref="I172:I197" si="53">+$K$4*G172</f>
        <v>8551.7656000000006</v>
      </c>
      <c r="J172" s="18"/>
      <c r="K172" s="18">
        <v>10174</v>
      </c>
      <c r="L172" s="18"/>
      <c r="M172" s="18">
        <f t="shared" si="52"/>
        <v>1622.2343999999994</v>
      </c>
      <c r="N172" s="54">
        <v>6.6</v>
      </c>
      <c r="O172" s="54" t="s">
        <v>176</v>
      </c>
      <c r="P172" s="54">
        <v>2.87</v>
      </c>
      <c r="Q172" s="54"/>
      <c r="R172" s="54"/>
      <c r="S172" s="54">
        <v>0</v>
      </c>
      <c r="T172" s="54">
        <f t="shared" ref="T172:T173" si="54">+S172-H172</f>
        <v>-6379</v>
      </c>
      <c r="U172" s="54">
        <f t="shared" ref="U172:U220" si="55">+T172*0.2</f>
        <v>-1275.8000000000002</v>
      </c>
      <c r="V172" s="54">
        <f t="shared" ref="V172:V173" si="56">+S172-U172</f>
        <v>1275.8000000000002</v>
      </c>
      <c r="W172" s="54"/>
    </row>
    <row r="173" spans="1:23" ht="26" x14ac:dyDescent="0.6">
      <c r="A173" s="72">
        <v>1462</v>
      </c>
      <c r="B173" s="20">
        <v>45803</v>
      </c>
      <c r="C173" s="32" t="s">
        <v>177</v>
      </c>
      <c r="D173" s="18">
        <v>40.950000000000003</v>
      </c>
      <c r="E173" s="18">
        <v>1</v>
      </c>
      <c r="F173" s="17">
        <f t="shared" si="50"/>
        <v>40.950000000000003</v>
      </c>
      <c r="G173" s="17">
        <v>35.869999999999997</v>
      </c>
      <c r="H173" s="17">
        <v>23603</v>
      </c>
      <c r="I173" s="21">
        <f t="shared" si="53"/>
        <v>31640.209599999998</v>
      </c>
      <c r="J173" s="18"/>
      <c r="K173" s="18">
        <v>35571</v>
      </c>
      <c r="L173" s="18"/>
      <c r="M173" s="18">
        <f t="shared" ref="M173:M184" si="57">+K173-I173</f>
        <v>3930.7904000000017</v>
      </c>
      <c r="N173" s="54" t="s">
        <v>178</v>
      </c>
      <c r="O173" s="54"/>
      <c r="P173" s="54">
        <v>4.75</v>
      </c>
      <c r="Q173" s="54"/>
      <c r="R173" s="54"/>
      <c r="S173" s="54">
        <v>0</v>
      </c>
      <c r="T173" s="54">
        <f t="shared" si="54"/>
        <v>-23603</v>
      </c>
      <c r="U173" s="54">
        <f t="shared" si="55"/>
        <v>-4720.6000000000004</v>
      </c>
      <c r="V173" s="54">
        <f t="shared" si="56"/>
        <v>4720.6000000000004</v>
      </c>
      <c r="W173" s="54"/>
    </row>
    <row r="174" spans="1:23" ht="26" x14ac:dyDescent="0.6">
      <c r="A174" s="72">
        <v>1466</v>
      </c>
      <c r="B174" s="20">
        <v>45803</v>
      </c>
      <c r="C174" s="32" t="s">
        <v>134</v>
      </c>
      <c r="D174" s="18">
        <v>33.15</v>
      </c>
      <c r="E174" s="18">
        <v>1</v>
      </c>
      <c r="F174" s="17">
        <f t="shared" si="50"/>
        <v>33.15</v>
      </c>
      <c r="G174" s="17">
        <f t="shared" ref="G174:G184" si="58">+D174*0.585</f>
        <v>19.392749999999999</v>
      </c>
      <c r="H174" s="17">
        <f t="shared" ref="H174:H184" si="59">+D174*322</f>
        <v>10674.3</v>
      </c>
      <c r="I174" s="21">
        <f t="shared" si="53"/>
        <v>17105.956920000001</v>
      </c>
      <c r="J174" s="18"/>
      <c r="K174" s="18">
        <v>19509</v>
      </c>
      <c r="L174" s="18"/>
      <c r="M174" s="18">
        <f t="shared" si="57"/>
        <v>2403.0430799999995</v>
      </c>
      <c r="N174" s="54">
        <v>18.2</v>
      </c>
      <c r="O174" s="54">
        <v>16.8</v>
      </c>
      <c r="P174" s="54">
        <v>1.5</v>
      </c>
      <c r="Q174" s="54" t="s">
        <v>179</v>
      </c>
      <c r="R174" s="54"/>
      <c r="S174" s="54">
        <v>0</v>
      </c>
      <c r="T174" s="54">
        <f t="shared" ref="T174:T237" si="60">+S174-H174</f>
        <v>-10674.3</v>
      </c>
      <c r="U174" s="54">
        <f t="shared" si="55"/>
        <v>-2134.86</v>
      </c>
      <c r="V174" s="54">
        <f t="shared" ref="V174:V237" si="61">+S174-U174</f>
        <v>2134.86</v>
      </c>
      <c r="W174" s="54"/>
    </row>
    <row r="175" spans="1:23" ht="26" x14ac:dyDescent="0.6">
      <c r="A175" s="72">
        <v>1467</v>
      </c>
      <c r="B175" s="20">
        <v>45803</v>
      </c>
      <c r="C175" s="32" t="s">
        <v>124</v>
      </c>
      <c r="D175" s="18">
        <v>19.22</v>
      </c>
      <c r="E175" s="18">
        <v>1</v>
      </c>
      <c r="F175" s="17">
        <f t="shared" si="50"/>
        <v>19.22</v>
      </c>
      <c r="G175" s="17">
        <f t="shared" si="58"/>
        <v>11.243699999999999</v>
      </c>
      <c r="H175" s="17">
        <f t="shared" si="59"/>
        <v>6188.8399999999992</v>
      </c>
      <c r="I175" s="21">
        <f t="shared" si="53"/>
        <v>9917.8428960000001</v>
      </c>
      <c r="J175" s="18"/>
      <c r="K175" s="18">
        <v>12812</v>
      </c>
      <c r="L175" s="18"/>
      <c r="M175" s="18">
        <f t="shared" si="57"/>
        <v>2894.1571039999999</v>
      </c>
      <c r="N175" s="54">
        <v>18.5</v>
      </c>
      <c r="O175" s="54">
        <v>9.07</v>
      </c>
      <c r="P175" s="54">
        <v>2.6</v>
      </c>
      <c r="Q175" s="54" t="s">
        <v>180</v>
      </c>
      <c r="R175" s="54"/>
      <c r="S175" s="54">
        <v>0</v>
      </c>
      <c r="T175" s="54">
        <f t="shared" si="60"/>
        <v>-6188.8399999999992</v>
      </c>
      <c r="U175" s="54">
        <f t="shared" si="55"/>
        <v>-1237.768</v>
      </c>
      <c r="V175" s="54">
        <f t="shared" si="61"/>
        <v>1237.768</v>
      </c>
      <c r="W175" s="54"/>
    </row>
    <row r="176" spans="1:23" ht="26" x14ac:dyDescent="0.6">
      <c r="A176" s="72">
        <v>1468</v>
      </c>
      <c r="B176" s="20">
        <v>45803</v>
      </c>
      <c r="C176" s="32" t="s">
        <v>119</v>
      </c>
      <c r="D176" s="18">
        <v>46.52</v>
      </c>
      <c r="E176" s="18">
        <v>1</v>
      </c>
      <c r="F176" s="17">
        <f t="shared" si="50"/>
        <v>46.52</v>
      </c>
      <c r="G176" s="17">
        <f t="shared" si="58"/>
        <v>27.214200000000002</v>
      </c>
      <c r="H176" s="17">
        <f t="shared" si="59"/>
        <v>14979.44</v>
      </c>
      <c r="I176" s="21">
        <f t="shared" si="53"/>
        <v>24005.101536000002</v>
      </c>
      <c r="J176" s="18"/>
      <c r="K176" s="18">
        <v>27378</v>
      </c>
      <c r="L176" s="18"/>
      <c r="M176" s="18">
        <f t="shared" si="57"/>
        <v>3372.8984639999981</v>
      </c>
      <c r="N176" s="54">
        <v>18.5</v>
      </c>
      <c r="O176" s="54">
        <v>16.52</v>
      </c>
      <c r="P176" s="54">
        <v>1.7</v>
      </c>
      <c r="Q176" s="54" t="s">
        <v>181</v>
      </c>
      <c r="R176" s="54"/>
      <c r="S176" s="54">
        <v>0</v>
      </c>
      <c r="T176" s="54">
        <f t="shared" si="60"/>
        <v>-14979.44</v>
      </c>
      <c r="U176" s="54">
        <f t="shared" si="55"/>
        <v>-2995.8880000000004</v>
      </c>
      <c r="V176" s="54">
        <f t="shared" si="61"/>
        <v>2995.8880000000004</v>
      </c>
      <c r="W176" s="54"/>
    </row>
    <row r="177" spans="1:23" ht="26" x14ac:dyDescent="0.6">
      <c r="A177" s="72">
        <v>1471</v>
      </c>
      <c r="B177" s="20">
        <v>45803</v>
      </c>
      <c r="C177" s="32" t="s">
        <v>136</v>
      </c>
      <c r="D177" s="18">
        <v>20.11</v>
      </c>
      <c r="E177" s="18">
        <v>1</v>
      </c>
      <c r="F177" s="17">
        <f t="shared" si="50"/>
        <v>20.11</v>
      </c>
      <c r="G177" s="17">
        <f t="shared" si="58"/>
        <v>11.764349999999999</v>
      </c>
      <c r="H177" s="17">
        <f t="shared" si="59"/>
        <v>6475.42</v>
      </c>
      <c r="I177" s="21">
        <f t="shared" si="53"/>
        <v>10377.097847999999</v>
      </c>
      <c r="J177" s="18"/>
      <c r="K177" s="18">
        <v>12044</v>
      </c>
      <c r="L177" s="18"/>
      <c r="M177" s="18">
        <f t="shared" si="57"/>
        <v>1666.9021520000006</v>
      </c>
      <c r="N177" s="54" t="s">
        <v>183</v>
      </c>
      <c r="O177" s="54">
        <v>5.75</v>
      </c>
      <c r="P177" s="54">
        <v>1.33</v>
      </c>
      <c r="Q177" s="54" t="s">
        <v>182</v>
      </c>
      <c r="R177" s="54" t="e">
        <f>13.36-#REF!</f>
        <v>#REF!</v>
      </c>
      <c r="S177" s="54">
        <v>0</v>
      </c>
      <c r="T177" s="54">
        <f t="shared" si="60"/>
        <v>-6475.42</v>
      </c>
      <c r="U177" s="54">
        <f t="shared" si="55"/>
        <v>-1295.0840000000001</v>
      </c>
      <c r="V177" s="54">
        <f t="shared" si="61"/>
        <v>1295.0840000000001</v>
      </c>
      <c r="W177" s="54"/>
    </row>
    <row r="178" spans="1:23" ht="26" x14ac:dyDescent="0.6">
      <c r="A178" s="72">
        <v>1472</v>
      </c>
      <c r="B178" s="20">
        <v>45803</v>
      </c>
      <c r="C178" s="32" t="s">
        <v>136</v>
      </c>
      <c r="D178" s="18">
        <v>7.15</v>
      </c>
      <c r="E178" s="18">
        <v>1</v>
      </c>
      <c r="F178" s="17">
        <f t="shared" si="50"/>
        <v>7.15</v>
      </c>
      <c r="G178" s="17">
        <f t="shared" si="58"/>
        <v>4.1827499999999995</v>
      </c>
      <c r="H178" s="17">
        <f t="shared" si="59"/>
        <v>2302.3000000000002</v>
      </c>
      <c r="I178" s="21">
        <f t="shared" si="53"/>
        <v>3689.5201199999997</v>
      </c>
      <c r="J178" s="18"/>
      <c r="K178" s="18">
        <v>4729</v>
      </c>
      <c r="L178" s="18"/>
      <c r="M178" s="18">
        <f t="shared" si="57"/>
        <v>1039.4798800000003</v>
      </c>
      <c r="N178" s="54" t="s">
        <v>184</v>
      </c>
      <c r="O178" s="54">
        <v>3.06</v>
      </c>
      <c r="P178" s="54">
        <v>3.3</v>
      </c>
      <c r="Q178" s="54" t="s">
        <v>144</v>
      </c>
      <c r="R178" s="54"/>
      <c r="S178" s="54">
        <v>0</v>
      </c>
      <c r="T178" s="54">
        <f t="shared" si="60"/>
        <v>-2302.3000000000002</v>
      </c>
      <c r="U178" s="54">
        <f t="shared" si="55"/>
        <v>-460.46000000000004</v>
      </c>
      <c r="V178" s="54">
        <f t="shared" si="61"/>
        <v>460.46000000000004</v>
      </c>
      <c r="W178" s="54"/>
    </row>
    <row r="179" spans="1:23" ht="26" x14ac:dyDescent="0.6">
      <c r="A179" s="72">
        <v>1473</v>
      </c>
      <c r="B179" s="20">
        <v>45803</v>
      </c>
      <c r="C179" s="32" t="s">
        <v>136</v>
      </c>
      <c r="D179" s="18">
        <v>12.96</v>
      </c>
      <c r="E179" s="18">
        <v>1</v>
      </c>
      <c r="F179" s="17">
        <f t="shared" si="50"/>
        <v>12.96</v>
      </c>
      <c r="G179" s="17">
        <f t="shared" si="58"/>
        <v>7.5815999999999999</v>
      </c>
      <c r="H179" s="17">
        <f t="shared" si="59"/>
        <v>4173.12</v>
      </c>
      <c r="I179" s="21">
        <f t="shared" si="53"/>
        <v>6687.5777280000002</v>
      </c>
      <c r="J179" s="18"/>
      <c r="K179" s="18">
        <v>7897</v>
      </c>
      <c r="L179" s="18"/>
      <c r="M179" s="18">
        <f t="shared" si="57"/>
        <v>1209.4222719999998</v>
      </c>
      <c r="N179" s="54" t="s">
        <v>184</v>
      </c>
      <c r="O179" s="54">
        <v>2.16</v>
      </c>
      <c r="P179" s="54">
        <v>2.2000000000000002</v>
      </c>
      <c r="Q179" s="54"/>
      <c r="R179" s="54"/>
      <c r="S179" s="54">
        <v>0</v>
      </c>
      <c r="T179" s="54">
        <f t="shared" si="60"/>
        <v>-4173.12</v>
      </c>
      <c r="U179" s="54">
        <f t="shared" si="55"/>
        <v>-834.62400000000002</v>
      </c>
      <c r="V179" s="54">
        <f t="shared" si="61"/>
        <v>834.62400000000002</v>
      </c>
      <c r="W179" s="54">
        <v>0.1</v>
      </c>
    </row>
    <row r="180" spans="1:23" ht="26" x14ac:dyDescent="0.6">
      <c r="A180" s="72">
        <v>1474</v>
      </c>
      <c r="B180" s="20">
        <v>45803</v>
      </c>
      <c r="C180" s="32" t="s">
        <v>136</v>
      </c>
      <c r="D180" s="18">
        <v>13.66</v>
      </c>
      <c r="E180" s="18">
        <v>1</v>
      </c>
      <c r="F180" s="17">
        <f t="shared" si="50"/>
        <v>13.66</v>
      </c>
      <c r="G180" s="17">
        <f t="shared" si="58"/>
        <v>7.9910999999999994</v>
      </c>
      <c r="H180" s="17">
        <f t="shared" si="59"/>
        <v>4398.5200000000004</v>
      </c>
      <c r="I180" s="21">
        <f t="shared" si="53"/>
        <v>7048.7894879999994</v>
      </c>
      <c r="J180" s="18"/>
      <c r="K180" s="18">
        <v>8323</v>
      </c>
      <c r="L180" s="18"/>
      <c r="M180" s="18">
        <f t="shared" si="57"/>
        <v>1274.2105120000006</v>
      </c>
      <c r="N180" s="54" t="s">
        <v>184</v>
      </c>
      <c r="O180" s="54">
        <v>2.12</v>
      </c>
      <c r="P180" s="54">
        <v>2.34</v>
      </c>
      <c r="Q180" s="54"/>
      <c r="R180" s="54"/>
      <c r="S180" s="54">
        <v>0</v>
      </c>
      <c r="T180" s="54">
        <f t="shared" si="60"/>
        <v>-4398.5200000000004</v>
      </c>
      <c r="U180" s="54">
        <f t="shared" si="55"/>
        <v>-879.70400000000018</v>
      </c>
      <c r="V180" s="54">
        <f t="shared" si="61"/>
        <v>879.70400000000018</v>
      </c>
      <c r="W180" s="54">
        <v>13</v>
      </c>
    </row>
    <row r="181" spans="1:23" ht="26" x14ac:dyDescent="0.6">
      <c r="A181" s="72">
        <v>1475</v>
      </c>
      <c r="B181" s="20">
        <v>45803</v>
      </c>
      <c r="C181" s="32" t="s">
        <v>185</v>
      </c>
      <c r="D181" s="18">
        <v>18.989999999999998</v>
      </c>
      <c r="E181" s="18">
        <v>1</v>
      </c>
      <c r="F181" s="17">
        <f t="shared" si="50"/>
        <v>18.989999999999998</v>
      </c>
      <c r="G181" s="17">
        <f t="shared" si="58"/>
        <v>11.109149999999998</v>
      </c>
      <c r="H181" s="17">
        <f t="shared" si="59"/>
        <v>6114.78</v>
      </c>
      <c r="I181" s="21">
        <f>+$K$4*G181</f>
        <v>9799.1590319999978</v>
      </c>
      <c r="J181" s="18"/>
      <c r="K181" s="18">
        <v>11324</v>
      </c>
      <c r="L181" s="18"/>
      <c r="M181" s="18">
        <f t="shared" si="57"/>
        <v>1524.8409680000022</v>
      </c>
      <c r="N181" s="54" t="s">
        <v>186</v>
      </c>
      <c r="O181" s="54">
        <v>9.23</v>
      </c>
      <c r="P181" s="54">
        <v>3.23</v>
      </c>
      <c r="Q181" s="54" t="s">
        <v>187</v>
      </c>
      <c r="R181" s="54"/>
      <c r="S181" s="54">
        <v>0</v>
      </c>
      <c r="T181" s="54">
        <f t="shared" si="60"/>
        <v>-6114.78</v>
      </c>
      <c r="U181" s="54">
        <f t="shared" si="55"/>
        <v>-1222.9559999999999</v>
      </c>
      <c r="V181" s="54">
        <f t="shared" si="61"/>
        <v>1222.9559999999999</v>
      </c>
      <c r="W181" s="54">
        <f>+W180*W179</f>
        <v>1.3</v>
      </c>
    </row>
    <row r="182" spans="1:23" ht="26" x14ac:dyDescent="0.6">
      <c r="A182" s="72">
        <v>1476</v>
      </c>
      <c r="B182" s="20">
        <v>45803</v>
      </c>
      <c r="C182" s="32" t="s">
        <v>188</v>
      </c>
      <c r="D182" s="18">
        <v>88.97</v>
      </c>
      <c r="E182" s="18">
        <v>1</v>
      </c>
      <c r="F182" s="17">
        <f t="shared" si="50"/>
        <v>88.97</v>
      </c>
      <c r="G182" s="17">
        <f t="shared" si="58"/>
        <v>52.047449999999998</v>
      </c>
      <c r="H182" s="17">
        <f t="shared" si="59"/>
        <v>28648.34</v>
      </c>
      <c r="I182" s="21">
        <f t="shared" si="53"/>
        <v>45910.014695999998</v>
      </c>
      <c r="J182" s="18"/>
      <c r="K182" s="18">
        <v>52361</v>
      </c>
      <c r="L182" s="18"/>
      <c r="M182" s="18">
        <f t="shared" si="57"/>
        <v>6450.9853040000016</v>
      </c>
      <c r="N182" s="54">
        <v>41</v>
      </c>
      <c r="O182" s="54">
        <v>9.0500000000000007</v>
      </c>
      <c r="P182" s="54">
        <v>3.08</v>
      </c>
      <c r="Q182" s="54" t="s">
        <v>137</v>
      </c>
      <c r="R182" s="54"/>
      <c r="S182" s="54">
        <v>0</v>
      </c>
      <c r="T182" s="54">
        <f t="shared" si="60"/>
        <v>-28648.34</v>
      </c>
      <c r="U182" s="54">
        <f t="shared" si="55"/>
        <v>-5729.6680000000006</v>
      </c>
      <c r="V182" s="54">
        <f t="shared" si="61"/>
        <v>5729.6680000000006</v>
      </c>
      <c r="W182" s="54"/>
    </row>
    <row r="183" spans="1:23" ht="26" x14ac:dyDescent="0.6">
      <c r="A183" s="72">
        <v>1477</v>
      </c>
      <c r="B183" s="20">
        <v>45803</v>
      </c>
      <c r="C183" s="32" t="s">
        <v>189</v>
      </c>
      <c r="D183" s="18">
        <v>16.54</v>
      </c>
      <c r="E183" s="18">
        <v>1</v>
      </c>
      <c r="F183" s="17">
        <f t="shared" si="50"/>
        <v>16.54</v>
      </c>
      <c r="G183" s="17">
        <f t="shared" si="58"/>
        <v>9.6758999999999986</v>
      </c>
      <c r="H183" s="17">
        <f t="shared" si="59"/>
        <v>5325.88</v>
      </c>
      <c r="I183" s="21">
        <f t="shared" si="53"/>
        <v>8534.917872</v>
      </c>
      <c r="J183" s="18"/>
      <c r="K183" s="18">
        <v>10078</v>
      </c>
      <c r="L183" s="18"/>
      <c r="M183" s="18">
        <f t="shared" si="57"/>
        <v>1543.082128</v>
      </c>
      <c r="N183" s="54">
        <v>76</v>
      </c>
      <c r="O183" s="54">
        <v>5</v>
      </c>
      <c r="P183" s="54">
        <v>3.18</v>
      </c>
      <c r="Q183" s="54" t="s">
        <v>171</v>
      </c>
      <c r="R183" s="54"/>
      <c r="S183" s="54">
        <v>0</v>
      </c>
      <c r="T183" s="54">
        <f t="shared" si="60"/>
        <v>-5325.88</v>
      </c>
      <c r="U183" s="54">
        <f t="shared" si="55"/>
        <v>-1065.1760000000002</v>
      </c>
      <c r="V183" s="54">
        <f t="shared" si="61"/>
        <v>1065.1760000000002</v>
      </c>
      <c r="W183" s="54"/>
    </row>
    <row r="184" spans="1:23" ht="26" x14ac:dyDescent="0.6">
      <c r="A184" s="72">
        <v>1478</v>
      </c>
      <c r="B184" s="20">
        <v>45803</v>
      </c>
      <c r="C184" s="32" t="s">
        <v>192</v>
      </c>
      <c r="D184" s="18">
        <v>24.11</v>
      </c>
      <c r="E184" s="18">
        <v>1</v>
      </c>
      <c r="F184" s="17">
        <f t="shared" si="50"/>
        <v>24.11</v>
      </c>
      <c r="G184" s="17">
        <f t="shared" si="58"/>
        <v>14.104349999999998</v>
      </c>
      <c r="H184" s="17">
        <f t="shared" si="59"/>
        <v>7763.42</v>
      </c>
      <c r="I184" s="21">
        <f t="shared" si="53"/>
        <v>12441.165047999999</v>
      </c>
      <c r="J184" s="18"/>
      <c r="K184" s="18">
        <v>14189</v>
      </c>
      <c r="L184" s="18"/>
      <c r="M184" s="18">
        <f t="shared" si="57"/>
        <v>1747.8349520000011</v>
      </c>
      <c r="N184" s="54" t="s">
        <v>190</v>
      </c>
      <c r="O184" s="54">
        <v>24.7</v>
      </c>
      <c r="P184" s="54">
        <v>5.97</v>
      </c>
      <c r="Q184" s="54" t="s">
        <v>191</v>
      </c>
      <c r="R184" s="54"/>
      <c r="S184" s="54">
        <v>0</v>
      </c>
      <c r="T184" s="54">
        <f t="shared" si="60"/>
        <v>-7763.42</v>
      </c>
      <c r="U184" s="54">
        <f t="shared" si="55"/>
        <v>-1552.6840000000002</v>
      </c>
      <c r="V184" s="54">
        <f t="shared" si="61"/>
        <v>1552.6840000000002</v>
      </c>
      <c r="W184" s="54"/>
    </row>
    <row r="185" spans="1:23" ht="26" x14ac:dyDescent="0.6">
      <c r="A185" s="72">
        <v>1483</v>
      </c>
      <c r="B185" s="20">
        <v>45803</v>
      </c>
      <c r="C185" s="32" t="s">
        <v>193</v>
      </c>
      <c r="D185" s="18">
        <v>39.85</v>
      </c>
      <c r="E185" s="18">
        <v>1</v>
      </c>
      <c r="F185" s="17">
        <f t="shared" si="50"/>
        <v>39.85</v>
      </c>
      <c r="G185" s="17">
        <f t="shared" ref="G185:G194" si="62">+D185*0.333</f>
        <v>13.270050000000001</v>
      </c>
      <c r="H185" s="17">
        <f t="shared" ref="H185:H194" si="63">+D185*215</f>
        <v>8567.75</v>
      </c>
      <c r="I185" s="21">
        <f t="shared" si="53"/>
        <v>11705.245704000001</v>
      </c>
      <c r="J185" s="18"/>
      <c r="K185" s="18">
        <v>13940</v>
      </c>
      <c r="L185" s="18"/>
      <c r="M185" s="18">
        <f>+K185-I185</f>
        <v>2234.7542959999992</v>
      </c>
      <c r="N185" s="54">
        <v>21</v>
      </c>
      <c r="O185" s="54">
        <v>7.31</v>
      </c>
      <c r="P185" s="54"/>
      <c r="Q185" s="54" t="s">
        <v>83</v>
      </c>
      <c r="R185" s="54"/>
      <c r="S185" s="54">
        <v>0</v>
      </c>
      <c r="T185" s="54">
        <f t="shared" si="60"/>
        <v>-8567.75</v>
      </c>
      <c r="U185" s="54">
        <f t="shared" si="55"/>
        <v>-1713.5500000000002</v>
      </c>
      <c r="V185" s="54">
        <f t="shared" si="61"/>
        <v>1713.5500000000002</v>
      </c>
      <c r="W185" s="54"/>
    </row>
    <row r="186" spans="1:23" ht="26" x14ac:dyDescent="0.6">
      <c r="A186" s="72">
        <v>1485</v>
      </c>
      <c r="B186" s="20">
        <v>45803</v>
      </c>
      <c r="C186" s="32" t="s">
        <v>123</v>
      </c>
      <c r="D186" s="18">
        <v>13.7</v>
      </c>
      <c r="E186" s="18">
        <v>1</v>
      </c>
      <c r="F186" s="17">
        <f t="shared" si="50"/>
        <v>13.7</v>
      </c>
      <c r="G186" s="17">
        <f t="shared" si="62"/>
        <v>4.5621</v>
      </c>
      <c r="H186" s="17">
        <f t="shared" si="63"/>
        <v>2945.5</v>
      </c>
      <c r="I186" s="21">
        <f t="shared" si="53"/>
        <v>4024.1371680000002</v>
      </c>
      <c r="J186" s="18"/>
      <c r="K186" s="18">
        <v>5198</v>
      </c>
      <c r="L186" s="18"/>
      <c r="M186" s="18">
        <f>+K186-I186</f>
        <v>1173.8628319999998</v>
      </c>
      <c r="N186" s="54">
        <v>18</v>
      </c>
      <c r="O186" s="54">
        <v>5.57</v>
      </c>
      <c r="P186" s="54">
        <v>2.27</v>
      </c>
      <c r="Q186" s="54" t="s">
        <v>194</v>
      </c>
      <c r="R186" s="54"/>
      <c r="S186" s="54">
        <v>0</v>
      </c>
      <c r="T186" s="54">
        <f t="shared" si="60"/>
        <v>-2945.5</v>
      </c>
      <c r="U186" s="54">
        <f t="shared" si="55"/>
        <v>-589.1</v>
      </c>
      <c r="V186" s="54">
        <f t="shared" si="61"/>
        <v>589.1</v>
      </c>
      <c r="W186" s="54"/>
    </row>
    <row r="187" spans="1:23" ht="26" x14ac:dyDescent="0.6">
      <c r="A187" s="72">
        <v>1486</v>
      </c>
      <c r="B187" s="20">
        <v>45803</v>
      </c>
      <c r="C187" s="32" t="s">
        <v>197</v>
      </c>
      <c r="D187" s="18">
        <v>13.94</v>
      </c>
      <c r="E187" s="18">
        <v>1</v>
      </c>
      <c r="F187" s="17">
        <f t="shared" si="50"/>
        <v>13.94</v>
      </c>
      <c r="G187" s="17">
        <f t="shared" si="62"/>
        <v>4.6420200000000005</v>
      </c>
      <c r="H187" s="17">
        <f t="shared" si="63"/>
        <v>2997.1</v>
      </c>
      <c r="I187" s="21">
        <f t="shared" si="53"/>
        <v>4094.6330016000006</v>
      </c>
      <c r="J187" s="18"/>
      <c r="K187" s="18">
        <v>5372</v>
      </c>
      <c r="L187" s="18"/>
      <c r="M187" s="18">
        <f>+K187-I187</f>
        <v>1277.3669983999994</v>
      </c>
      <c r="N187" s="54" t="s">
        <v>195</v>
      </c>
      <c r="O187" s="54">
        <v>2.85</v>
      </c>
      <c r="P187" s="54"/>
      <c r="Q187" s="54" t="s">
        <v>196</v>
      </c>
      <c r="R187" s="54"/>
      <c r="S187" s="54">
        <v>0</v>
      </c>
      <c r="T187" s="54">
        <f t="shared" si="60"/>
        <v>-2997.1</v>
      </c>
      <c r="U187" s="54">
        <f t="shared" si="55"/>
        <v>-599.41999999999996</v>
      </c>
      <c r="V187" s="54">
        <f t="shared" si="61"/>
        <v>599.41999999999996</v>
      </c>
      <c r="W187" s="54"/>
    </row>
    <row r="188" spans="1:23" ht="26" x14ac:dyDescent="0.6">
      <c r="A188" s="72">
        <v>1487</v>
      </c>
      <c r="B188" s="20">
        <v>45803</v>
      </c>
      <c r="C188" s="32" t="s">
        <v>197</v>
      </c>
      <c r="D188" s="18">
        <v>7.25</v>
      </c>
      <c r="E188" s="18">
        <v>1</v>
      </c>
      <c r="F188" s="17">
        <f t="shared" si="50"/>
        <v>7.25</v>
      </c>
      <c r="G188" s="17">
        <f t="shared" si="62"/>
        <v>2.41425</v>
      </c>
      <c r="H188" s="17">
        <f t="shared" si="63"/>
        <v>1558.75</v>
      </c>
      <c r="I188" s="21">
        <f t="shared" si="53"/>
        <v>2129.5616399999999</v>
      </c>
      <c r="J188" s="18"/>
      <c r="K188" s="18">
        <v>3181</v>
      </c>
      <c r="L188" s="18"/>
      <c r="M188" s="18">
        <f t="shared" ref="M188:M194" si="64">+K188-I188</f>
        <v>1051.4383600000001</v>
      </c>
      <c r="N188" s="54" t="s">
        <v>198</v>
      </c>
      <c r="O188" s="54">
        <v>1.94</v>
      </c>
      <c r="P188" s="54"/>
      <c r="Q188" s="54" t="s">
        <v>90</v>
      </c>
      <c r="R188" s="54"/>
      <c r="S188" s="54">
        <v>0</v>
      </c>
      <c r="T188" s="54">
        <f t="shared" si="60"/>
        <v>-1558.75</v>
      </c>
      <c r="U188" s="54">
        <f t="shared" si="55"/>
        <v>-311.75</v>
      </c>
      <c r="V188" s="54">
        <f t="shared" si="61"/>
        <v>311.75</v>
      </c>
      <c r="W188" s="54"/>
    </row>
    <row r="189" spans="1:23" ht="26" x14ac:dyDescent="0.6">
      <c r="A189" s="72">
        <v>1488</v>
      </c>
      <c r="B189" s="20">
        <v>45803</v>
      </c>
      <c r="C189" s="32" t="s">
        <v>197</v>
      </c>
      <c r="D189" s="18">
        <v>7.2</v>
      </c>
      <c r="E189" s="18">
        <v>1</v>
      </c>
      <c r="F189" s="17">
        <f t="shared" si="50"/>
        <v>7.2</v>
      </c>
      <c r="G189" s="17">
        <f t="shared" si="62"/>
        <v>2.3976000000000002</v>
      </c>
      <c r="H189" s="17">
        <f t="shared" si="63"/>
        <v>1548</v>
      </c>
      <c r="I189" s="21">
        <f t="shared" si="53"/>
        <v>2114.8750080000004</v>
      </c>
      <c r="J189" s="18"/>
      <c r="K189" s="18">
        <v>3159</v>
      </c>
      <c r="L189" s="18"/>
      <c r="M189" s="18">
        <f t="shared" si="64"/>
        <v>1044.1249919999996</v>
      </c>
      <c r="N189" s="54" t="s">
        <v>198</v>
      </c>
      <c r="O189" s="54">
        <v>1.97</v>
      </c>
      <c r="P189" s="54"/>
      <c r="Q189" s="54"/>
      <c r="R189" s="54"/>
      <c r="S189" s="54">
        <v>0</v>
      </c>
      <c r="T189" s="54">
        <f t="shared" si="60"/>
        <v>-1548</v>
      </c>
      <c r="U189" s="54">
        <f t="shared" si="55"/>
        <v>-309.60000000000002</v>
      </c>
      <c r="V189" s="54">
        <f t="shared" si="61"/>
        <v>309.60000000000002</v>
      </c>
      <c r="W189" s="54"/>
    </row>
    <row r="190" spans="1:23" ht="26" x14ac:dyDescent="0.6">
      <c r="A190" s="72">
        <v>1489</v>
      </c>
      <c r="B190" s="20">
        <v>45803</v>
      </c>
      <c r="C190" s="32" t="s">
        <v>199</v>
      </c>
      <c r="D190" s="18">
        <v>21.3</v>
      </c>
      <c r="E190" s="18">
        <v>1</v>
      </c>
      <c r="F190" s="17">
        <f t="shared" si="50"/>
        <v>21.3</v>
      </c>
      <c r="G190" s="17">
        <f t="shared" si="62"/>
        <v>7.0929000000000002</v>
      </c>
      <c r="H190" s="17">
        <f t="shared" si="63"/>
        <v>4579.5</v>
      </c>
      <c r="I190" s="21">
        <f t="shared" si="53"/>
        <v>6256.5052320000004</v>
      </c>
      <c r="J190" s="18"/>
      <c r="K190" s="18">
        <v>8966</v>
      </c>
      <c r="L190" s="18"/>
      <c r="M190" s="18">
        <f t="shared" si="64"/>
        <v>2709.4947679999996</v>
      </c>
      <c r="N190" s="54">
        <v>40.5</v>
      </c>
      <c r="O190" s="54" t="s">
        <v>200</v>
      </c>
      <c r="P190" s="54">
        <v>2.0499999999999998</v>
      </c>
      <c r="Q190" s="54" t="s">
        <v>201</v>
      </c>
      <c r="R190" s="54"/>
      <c r="S190" s="54">
        <v>0</v>
      </c>
      <c r="T190" s="54">
        <f t="shared" si="60"/>
        <v>-4579.5</v>
      </c>
      <c r="U190" s="54">
        <f t="shared" si="55"/>
        <v>-915.90000000000009</v>
      </c>
      <c r="V190" s="54">
        <f t="shared" si="61"/>
        <v>915.90000000000009</v>
      </c>
      <c r="W190" s="54"/>
    </row>
    <row r="191" spans="1:23" ht="26" x14ac:dyDescent="0.6">
      <c r="A191" s="72">
        <v>1490</v>
      </c>
      <c r="B191" s="20">
        <v>45803</v>
      </c>
      <c r="C191" s="32" t="s">
        <v>202</v>
      </c>
      <c r="D191" s="18">
        <v>14.48</v>
      </c>
      <c r="E191" s="18">
        <v>1</v>
      </c>
      <c r="F191" s="17">
        <f t="shared" si="50"/>
        <v>14.48</v>
      </c>
      <c r="G191" s="17">
        <f t="shared" si="62"/>
        <v>4.8218400000000008</v>
      </c>
      <c r="H191" s="17">
        <f t="shared" si="63"/>
        <v>3113.2000000000003</v>
      </c>
      <c r="I191" s="21">
        <f t="shared" si="53"/>
        <v>4253.2486272000006</v>
      </c>
      <c r="J191" s="18"/>
      <c r="K191" s="18">
        <v>5881</v>
      </c>
      <c r="L191" s="18"/>
      <c r="M191" s="18">
        <f t="shared" si="64"/>
        <v>1627.7513727999994</v>
      </c>
      <c r="N191" s="54">
        <v>46</v>
      </c>
      <c r="O191" s="54">
        <v>4.67</v>
      </c>
      <c r="P191" s="54">
        <v>1.28</v>
      </c>
      <c r="Q191" s="54" t="s">
        <v>115</v>
      </c>
      <c r="R191" s="54"/>
      <c r="S191" s="54">
        <v>0</v>
      </c>
      <c r="T191" s="54">
        <f t="shared" si="60"/>
        <v>-3113.2000000000003</v>
      </c>
      <c r="U191" s="54">
        <f t="shared" si="55"/>
        <v>-622.6400000000001</v>
      </c>
      <c r="V191" s="54">
        <f t="shared" si="61"/>
        <v>622.6400000000001</v>
      </c>
      <c r="W191" s="54"/>
    </row>
    <row r="192" spans="1:23" ht="26" x14ac:dyDescent="0.6">
      <c r="A192" s="72">
        <v>1491</v>
      </c>
      <c r="B192" s="20">
        <v>45803</v>
      </c>
      <c r="C192" s="32" t="s">
        <v>203</v>
      </c>
      <c r="D192" s="18">
        <v>6.8</v>
      </c>
      <c r="E192" s="18">
        <v>1</v>
      </c>
      <c r="F192" s="17">
        <f t="shared" si="50"/>
        <v>6.8</v>
      </c>
      <c r="G192" s="17">
        <f t="shared" si="62"/>
        <v>2.2644000000000002</v>
      </c>
      <c r="H192" s="17">
        <f t="shared" si="63"/>
        <v>1462</v>
      </c>
      <c r="I192" s="21">
        <f t="shared" si="53"/>
        <v>1997.3819520000002</v>
      </c>
      <c r="J192" s="18"/>
      <c r="K192" s="18">
        <v>3064</v>
      </c>
      <c r="L192" s="18"/>
      <c r="M192" s="18">
        <f t="shared" si="64"/>
        <v>1066.6180479999998</v>
      </c>
      <c r="N192" s="54" t="s">
        <v>190</v>
      </c>
      <c r="O192" s="54" t="s">
        <v>204</v>
      </c>
      <c r="P192" s="54">
        <v>3.05</v>
      </c>
      <c r="Q192" s="54" t="s">
        <v>140</v>
      </c>
      <c r="R192" s="54"/>
      <c r="S192" s="54">
        <v>0</v>
      </c>
      <c r="T192" s="54">
        <f t="shared" si="60"/>
        <v>-1462</v>
      </c>
      <c r="U192" s="54">
        <f t="shared" si="55"/>
        <v>-292.40000000000003</v>
      </c>
      <c r="V192" s="54">
        <f t="shared" si="61"/>
        <v>292.40000000000003</v>
      </c>
      <c r="W192" s="54"/>
    </row>
    <row r="193" spans="1:23" ht="26" x14ac:dyDescent="0.6">
      <c r="A193" s="72">
        <v>1492</v>
      </c>
      <c r="B193" s="20">
        <v>45803</v>
      </c>
      <c r="C193" s="32" t="s">
        <v>205</v>
      </c>
      <c r="D193" s="18">
        <v>4.1500000000000004</v>
      </c>
      <c r="E193" s="18">
        <v>1</v>
      </c>
      <c r="F193" s="17">
        <f t="shared" si="50"/>
        <v>4.1500000000000004</v>
      </c>
      <c r="G193" s="17">
        <f t="shared" si="62"/>
        <v>1.3819500000000002</v>
      </c>
      <c r="H193" s="17">
        <f t="shared" si="63"/>
        <v>892.25000000000011</v>
      </c>
      <c r="I193" s="21">
        <f t="shared" si="53"/>
        <v>1218.9904560000002</v>
      </c>
      <c r="J193" s="18"/>
      <c r="K193" s="18">
        <v>2079</v>
      </c>
      <c r="L193" s="18"/>
      <c r="M193" s="18">
        <f t="shared" si="64"/>
        <v>860.00954399999978</v>
      </c>
      <c r="N193" s="54" t="s">
        <v>206</v>
      </c>
      <c r="O193" s="54" t="s">
        <v>207</v>
      </c>
      <c r="P193" s="54">
        <v>3.41</v>
      </c>
      <c r="Q193" s="54" t="s">
        <v>144</v>
      </c>
      <c r="R193" s="54"/>
      <c r="S193" s="54">
        <v>0</v>
      </c>
      <c r="T193" s="54">
        <f t="shared" si="60"/>
        <v>-892.25000000000011</v>
      </c>
      <c r="U193" s="54">
        <f t="shared" si="55"/>
        <v>-178.45000000000005</v>
      </c>
      <c r="V193" s="54">
        <f t="shared" si="61"/>
        <v>178.45000000000005</v>
      </c>
      <c r="W193" s="54"/>
    </row>
    <row r="194" spans="1:23" ht="26" x14ac:dyDescent="0.6">
      <c r="A194" s="72">
        <v>1493</v>
      </c>
      <c r="B194" s="20">
        <v>45803</v>
      </c>
      <c r="C194" s="32" t="s">
        <v>203</v>
      </c>
      <c r="D194" s="18">
        <v>2.95</v>
      </c>
      <c r="E194" s="18">
        <v>1</v>
      </c>
      <c r="F194" s="17">
        <f t="shared" si="50"/>
        <v>2.95</v>
      </c>
      <c r="G194" s="17">
        <f t="shared" si="62"/>
        <v>0.98235000000000017</v>
      </c>
      <c r="H194" s="17">
        <f t="shared" si="63"/>
        <v>634.25</v>
      </c>
      <c r="I194" s="21">
        <f t="shared" si="53"/>
        <v>866.51128800000015</v>
      </c>
      <c r="J194" s="18"/>
      <c r="K194" s="18">
        <v>1617</v>
      </c>
      <c r="L194" s="18"/>
      <c r="M194" s="18">
        <f t="shared" si="64"/>
        <v>750.48871199999985</v>
      </c>
      <c r="N194" s="54" t="s">
        <v>208</v>
      </c>
      <c r="O194" s="54" t="s">
        <v>209</v>
      </c>
      <c r="P194" s="54">
        <v>1.94</v>
      </c>
      <c r="Q194" s="54" t="s">
        <v>122</v>
      </c>
      <c r="R194" s="54"/>
      <c r="S194" s="54">
        <v>0</v>
      </c>
      <c r="T194" s="54">
        <f t="shared" si="60"/>
        <v>-634.25</v>
      </c>
      <c r="U194" s="54">
        <f t="shared" si="55"/>
        <v>-126.85000000000001</v>
      </c>
      <c r="V194" s="54">
        <f t="shared" si="61"/>
        <v>126.85000000000001</v>
      </c>
      <c r="W194" s="54"/>
    </row>
    <row r="195" spans="1:23" ht="26" x14ac:dyDescent="0.6">
      <c r="A195" s="72">
        <v>1497</v>
      </c>
      <c r="B195" s="20">
        <v>45803</v>
      </c>
      <c r="C195" s="32" t="s">
        <v>67</v>
      </c>
      <c r="D195" s="18">
        <v>13.97</v>
      </c>
      <c r="E195" s="18">
        <v>1</v>
      </c>
      <c r="F195" s="17">
        <f t="shared" si="50"/>
        <v>13.97</v>
      </c>
      <c r="G195" s="17">
        <f>+D195*0.75</f>
        <v>10.477500000000001</v>
      </c>
      <c r="H195" s="17">
        <f>+D195*490</f>
        <v>6845.3</v>
      </c>
      <c r="I195" s="21">
        <f t="shared" si="53"/>
        <v>9241.9932000000008</v>
      </c>
      <c r="J195" s="18"/>
      <c r="K195" s="18">
        <v>11007</v>
      </c>
      <c r="L195" s="18"/>
      <c r="M195" s="18">
        <f t="shared" ref="M195:M208" si="65">+K195-I195</f>
        <v>1765.0067999999992</v>
      </c>
      <c r="N195" s="54">
        <v>44.5</v>
      </c>
      <c r="O195" s="54">
        <v>4.3</v>
      </c>
      <c r="P195" s="54">
        <v>2.0099999999999998</v>
      </c>
      <c r="Q195" s="54" t="s">
        <v>211</v>
      </c>
      <c r="R195" s="54"/>
      <c r="S195" s="54">
        <v>0</v>
      </c>
      <c r="T195" s="54">
        <f t="shared" si="60"/>
        <v>-6845.3</v>
      </c>
      <c r="U195" s="54">
        <f t="shared" si="55"/>
        <v>-1369.0600000000002</v>
      </c>
      <c r="V195" s="54">
        <f t="shared" si="61"/>
        <v>1369.0600000000002</v>
      </c>
      <c r="W195" s="54"/>
    </row>
    <row r="196" spans="1:23" ht="26" x14ac:dyDescent="0.6">
      <c r="A196" s="72">
        <v>1499</v>
      </c>
      <c r="B196" s="20">
        <v>45803</v>
      </c>
      <c r="C196" s="32" t="s">
        <v>212</v>
      </c>
      <c r="D196" s="18">
        <v>52.88</v>
      </c>
      <c r="E196" s="18">
        <v>1</v>
      </c>
      <c r="F196" s="17">
        <f t="shared" si="50"/>
        <v>52.88</v>
      </c>
      <c r="G196" s="17">
        <f>+D196*0.75</f>
        <v>39.660000000000004</v>
      </c>
      <c r="H196" s="17">
        <f>+D196*490</f>
        <v>25911.200000000001</v>
      </c>
      <c r="I196" s="21">
        <f t="shared" si="53"/>
        <v>34983.292800000003</v>
      </c>
      <c r="J196" s="18"/>
      <c r="K196" s="18">
        <v>39501</v>
      </c>
      <c r="L196" s="18"/>
      <c r="M196" s="18">
        <f t="shared" si="65"/>
        <v>4517.7071999999971</v>
      </c>
      <c r="N196" s="54">
        <v>135</v>
      </c>
      <c r="O196" s="54">
        <v>6.07</v>
      </c>
      <c r="P196" s="54"/>
      <c r="Q196" s="54"/>
      <c r="R196" s="54"/>
      <c r="S196" s="54">
        <v>0</v>
      </c>
      <c r="T196" s="54">
        <f t="shared" si="60"/>
        <v>-25911.200000000001</v>
      </c>
      <c r="U196" s="54">
        <f t="shared" si="55"/>
        <v>-5182.2400000000007</v>
      </c>
      <c r="V196" s="54">
        <f t="shared" si="61"/>
        <v>5182.2400000000007</v>
      </c>
      <c r="W196" s="54"/>
    </row>
    <row r="197" spans="1:23" ht="26" x14ac:dyDescent="0.6">
      <c r="A197" s="72">
        <v>1500</v>
      </c>
      <c r="B197" s="20">
        <v>45803</v>
      </c>
      <c r="C197" s="32" t="s">
        <v>213</v>
      </c>
      <c r="D197" s="18">
        <v>2.7</v>
      </c>
      <c r="E197" s="18">
        <v>1</v>
      </c>
      <c r="F197" s="17">
        <f t="shared" si="50"/>
        <v>2.7</v>
      </c>
      <c r="G197" s="17">
        <f t="shared" ref="G197:G207" si="66">+D197*0.585</f>
        <v>1.5794999999999999</v>
      </c>
      <c r="H197" s="17">
        <f>+D197*385</f>
        <v>1039.5</v>
      </c>
      <c r="I197" s="21">
        <f t="shared" si="53"/>
        <v>1393.2453599999999</v>
      </c>
      <c r="J197" s="18"/>
      <c r="K197" s="18">
        <v>2559</v>
      </c>
      <c r="L197" s="18"/>
      <c r="M197" s="18">
        <f t="shared" si="65"/>
        <v>1165.7546400000001</v>
      </c>
      <c r="N197" s="54">
        <v>42</v>
      </c>
      <c r="O197" s="54">
        <v>0.69</v>
      </c>
      <c r="P197" s="54"/>
      <c r="Q197" s="54"/>
      <c r="R197" s="54"/>
      <c r="S197" s="54">
        <v>0</v>
      </c>
      <c r="T197" s="54">
        <f t="shared" si="60"/>
        <v>-1039.5</v>
      </c>
      <c r="U197" s="54">
        <f t="shared" si="55"/>
        <v>-207.9</v>
      </c>
      <c r="V197" s="54">
        <f t="shared" si="61"/>
        <v>207.9</v>
      </c>
      <c r="W197" s="54"/>
    </row>
    <row r="198" spans="1:23" ht="26" x14ac:dyDescent="0.6">
      <c r="A198" s="72">
        <v>1502</v>
      </c>
      <c r="B198" s="20">
        <v>45803</v>
      </c>
      <c r="C198" s="32" t="s">
        <v>214</v>
      </c>
      <c r="D198" s="18">
        <v>1.65</v>
      </c>
      <c r="E198" s="18">
        <v>1</v>
      </c>
      <c r="F198" s="17">
        <f t="shared" ref="F198:F218" si="67">+D198</f>
        <v>1.65</v>
      </c>
      <c r="G198" s="17">
        <f t="shared" si="66"/>
        <v>0.96524999999999994</v>
      </c>
      <c r="H198" s="17">
        <f t="shared" ref="H198:H207" si="68">+D198*380</f>
        <v>627</v>
      </c>
      <c r="I198" s="21">
        <f t="shared" ref="I198:I218" si="69">+$K$4*G198</f>
        <v>851.42772000000002</v>
      </c>
      <c r="J198" s="18"/>
      <c r="K198" s="18">
        <v>1684</v>
      </c>
      <c r="L198" s="18"/>
      <c r="M198" s="18">
        <f t="shared" si="65"/>
        <v>832.57227999999998</v>
      </c>
      <c r="N198" s="54">
        <v>36</v>
      </c>
      <c r="O198" s="54">
        <v>0.65</v>
      </c>
      <c r="P198" s="54"/>
      <c r="Q198" s="54"/>
      <c r="R198" s="54"/>
      <c r="S198" s="54">
        <v>0</v>
      </c>
      <c r="T198" s="54">
        <f t="shared" si="60"/>
        <v>-627</v>
      </c>
      <c r="U198" s="54">
        <f t="shared" si="55"/>
        <v>-125.4</v>
      </c>
      <c r="V198" s="54">
        <f t="shared" si="61"/>
        <v>125.4</v>
      </c>
      <c r="W198" s="54"/>
    </row>
    <row r="199" spans="1:23" ht="26" x14ac:dyDescent="0.6">
      <c r="A199" s="72">
        <v>1503</v>
      </c>
      <c r="B199" s="20">
        <v>45803</v>
      </c>
      <c r="C199" s="32" t="s">
        <v>146</v>
      </c>
      <c r="D199" s="18">
        <v>4.45</v>
      </c>
      <c r="E199" s="18">
        <v>1</v>
      </c>
      <c r="F199" s="17">
        <f t="shared" si="67"/>
        <v>4.45</v>
      </c>
      <c r="G199" s="17">
        <f t="shared" si="66"/>
        <v>2.6032500000000001</v>
      </c>
      <c r="H199" s="17">
        <f t="shared" si="68"/>
        <v>1691</v>
      </c>
      <c r="I199" s="21">
        <f t="shared" si="69"/>
        <v>2296.2747600000002</v>
      </c>
      <c r="J199" s="18"/>
      <c r="K199" s="18">
        <v>3522</v>
      </c>
      <c r="L199" s="18"/>
      <c r="M199" s="18">
        <f t="shared" si="65"/>
        <v>1225.7252399999998</v>
      </c>
      <c r="N199" s="54">
        <v>69.5</v>
      </c>
      <c r="O199" s="54">
        <v>2.23</v>
      </c>
      <c r="P199" s="54"/>
      <c r="Q199" s="54" t="s">
        <v>116</v>
      </c>
      <c r="R199" s="54"/>
      <c r="S199" s="54">
        <v>0</v>
      </c>
      <c r="T199" s="54">
        <f t="shared" si="60"/>
        <v>-1691</v>
      </c>
      <c r="U199" s="54">
        <f t="shared" si="55"/>
        <v>-338.20000000000005</v>
      </c>
      <c r="V199" s="54">
        <f t="shared" si="61"/>
        <v>338.20000000000005</v>
      </c>
      <c r="W199" s="54"/>
    </row>
    <row r="200" spans="1:23" ht="26" x14ac:dyDescent="0.6">
      <c r="A200" s="72">
        <v>1505</v>
      </c>
      <c r="B200" s="20">
        <v>45803</v>
      </c>
      <c r="C200" s="32" t="s">
        <v>215</v>
      </c>
      <c r="D200" s="18">
        <v>6.35</v>
      </c>
      <c r="E200" s="18">
        <v>1</v>
      </c>
      <c r="F200" s="17">
        <f t="shared" si="67"/>
        <v>6.35</v>
      </c>
      <c r="G200" s="17">
        <f t="shared" si="66"/>
        <v>3.7147499999999996</v>
      </c>
      <c r="H200" s="17">
        <f t="shared" si="68"/>
        <v>2413</v>
      </c>
      <c r="I200" s="21">
        <f t="shared" si="69"/>
        <v>3276.7066799999998</v>
      </c>
      <c r="J200" s="18"/>
      <c r="K200" s="18">
        <v>4530</v>
      </c>
      <c r="L200" s="18"/>
      <c r="M200" s="18">
        <f t="shared" si="65"/>
        <v>1253.2933200000002</v>
      </c>
      <c r="N200" s="54">
        <v>75</v>
      </c>
      <c r="O200" s="54">
        <v>2.75</v>
      </c>
      <c r="P200" s="54"/>
      <c r="Q200" s="54" t="s">
        <v>216</v>
      </c>
      <c r="R200" s="54"/>
      <c r="S200" s="54">
        <v>0</v>
      </c>
      <c r="T200" s="54">
        <f t="shared" si="60"/>
        <v>-2413</v>
      </c>
      <c r="U200" s="54">
        <f t="shared" si="55"/>
        <v>-482.6</v>
      </c>
      <c r="V200" s="54">
        <f t="shared" si="61"/>
        <v>482.6</v>
      </c>
      <c r="W200" s="54"/>
    </row>
    <row r="201" spans="1:23" ht="26" x14ac:dyDescent="0.6">
      <c r="A201" s="72">
        <v>1506</v>
      </c>
      <c r="B201" s="20">
        <v>45803</v>
      </c>
      <c r="C201" s="32" t="s">
        <v>215</v>
      </c>
      <c r="D201" s="18">
        <v>10.62</v>
      </c>
      <c r="E201" s="18">
        <v>1</v>
      </c>
      <c r="F201" s="17">
        <f t="shared" si="67"/>
        <v>10.62</v>
      </c>
      <c r="G201" s="17">
        <f t="shared" si="66"/>
        <v>6.212699999999999</v>
      </c>
      <c r="H201" s="17">
        <f t="shared" si="68"/>
        <v>4035.6</v>
      </c>
      <c r="I201" s="21">
        <f t="shared" si="69"/>
        <v>5480.0984159999998</v>
      </c>
      <c r="J201" s="18"/>
      <c r="K201" s="18">
        <v>6858</v>
      </c>
      <c r="L201" s="18"/>
      <c r="M201" s="18">
        <f t="shared" si="65"/>
        <v>1377.9015840000002</v>
      </c>
      <c r="N201" s="54">
        <v>55</v>
      </c>
      <c r="O201" s="54">
        <v>3.76</v>
      </c>
      <c r="P201" s="54"/>
      <c r="Q201" s="54"/>
      <c r="R201" s="54"/>
      <c r="S201" s="54">
        <v>0</v>
      </c>
      <c r="T201" s="54">
        <f t="shared" si="60"/>
        <v>-4035.6</v>
      </c>
      <c r="U201" s="54">
        <f t="shared" si="55"/>
        <v>-807.12</v>
      </c>
      <c r="V201" s="54">
        <f t="shared" si="61"/>
        <v>807.12</v>
      </c>
      <c r="W201" s="54"/>
    </row>
    <row r="202" spans="1:23" ht="26" x14ac:dyDescent="0.6">
      <c r="A202" s="72">
        <v>1507</v>
      </c>
      <c r="B202" s="20">
        <v>45803</v>
      </c>
      <c r="C202" s="32" t="s">
        <v>217</v>
      </c>
      <c r="D202" s="18">
        <v>33.770000000000003</v>
      </c>
      <c r="E202" s="18">
        <v>1</v>
      </c>
      <c r="F202" s="17">
        <f t="shared" si="67"/>
        <v>33.770000000000003</v>
      </c>
      <c r="G202" s="17">
        <f t="shared" si="66"/>
        <v>19.75545</v>
      </c>
      <c r="H202" s="17">
        <f t="shared" si="68"/>
        <v>12832.6</v>
      </c>
      <c r="I202" s="21">
        <f t="shared" si="69"/>
        <v>17425.887336</v>
      </c>
      <c r="J202" s="18"/>
      <c r="K202" s="18">
        <v>20402</v>
      </c>
      <c r="L202" s="18"/>
      <c r="M202" s="18">
        <f t="shared" si="65"/>
        <v>2976.1126640000002</v>
      </c>
      <c r="N202" s="54">
        <v>18.5</v>
      </c>
      <c r="O202" s="54">
        <v>11.46</v>
      </c>
      <c r="P202" s="54">
        <v>4.47</v>
      </c>
      <c r="Q202" s="54"/>
      <c r="R202" s="54"/>
      <c r="S202" s="54">
        <v>0</v>
      </c>
      <c r="T202" s="54">
        <f t="shared" si="60"/>
        <v>-12832.6</v>
      </c>
      <c r="U202" s="54">
        <f t="shared" si="55"/>
        <v>-2566.5200000000004</v>
      </c>
      <c r="V202" s="54">
        <f t="shared" si="61"/>
        <v>2566.5200000000004</v>
      </c>
      <c r="W202" s="54"/>
    </row>
    <row r="203" spans="1:23" ht="26" x14ac:dyDescent="0.6">
      <c r="A203" s="72">
        <v>1508</v>
      </c>
      <c r="B203" s="20">
        <v>45803</v>
      </c>
      <c r="C203" s="32" t="s">
        <v>218</v>
      </c>
      <c r="D203" s="18">
        <v>19.100000000000001</v>
      </c>
      <c r="E203" s="18">
        <v>1</v>
      </c>
      <c r="F203" s="17">
        <f t="shared" si="67"/>
        <v>19.100000000000001</v>
      </c>
      <c r="G203" s="17">
        <f t="shared" si="66"/>
        <v>11.173500000000001</v>
      </c>
      <c r="H203" s="17">
        <f t="shared" si="68"/>
        <v>7258.0000000000009</v>
      </c>
      <c r="I203" s="21">
        <f t="shared" si="69"/>
        <v>9855.9208800000015</v>
      </c>
      <c r="J203" s="18"/>
      <c r="K203" s="18">
        <v>11737</v>
      </c>
      <c r="L203" s="18"/>
      <c r="M203" s="18">
        <f t="shared" si="65"/>
        <v>1881.0791199999985</v>
      </c>
      <c r="N203" s="54">
        <v>18.5</v>
      </c>
      <c r="O203" s="54">
        <v>10.8</v>
      </c>
      <c r="P203" s="54">
        <v>1.75</v>
      </c>
      <c r="Q203" s="54" t="s">
        <v>117</v>
      </c>
      <c r="R203" s="54"/>
      <c r="S203" s="54">
        <v>0</v>
      </c>
      <c r="T203" s="54">
        <f t="shared" si="60"/>
        <v>-7258.0000000000009</v>
      </c>
      <c r="U203" s="54">
        <f t="shared" si="55"/>
        <v>-1451.6000000000004</v>
      </c>
      <c r="V203" s="54">
        <f t="shared" si="61"/>
        <v>1451.6000000000004</v>
      </c>
      <c r="W203" s="54"/>
    </row>
    <row r="204" spans="1:23" ht="26" x14ac:dyDescent="0.6">
      <c r="A204" s="72">
        <v>1509</v>
      </c>
      <c r="B204" s="20">
        <v>45803</v>
      </c>
      <c r="C204" s="32" t="s">
        <v>118</v>
      </c>
      <c r="D204" s="18">
        <v>36.89</v>
      </c>
      <c r="E204" s="18">
        <v>1</v>
      </c>
      <c r="F204" s="17">
        <f t="shared" si="67"/>
        <v>36.89</v>
      </c>
      <c r="G204" s="17">
        <f t="shared" si="66"/>
        <v>21.580649999999999</v>
      </c>
      <c r="H204" s="17">
        <f t="shared" si="68"/>
        <v>14018.2</v>
      </c>
      <c r="I204" s="21">
        <f t="shared" si="69"/>
        <v>19035.859752</v>
      </c>
      <c r="J204" s="18"/>
      <c r="K204" s="18">
        <v>21518</v>
      </c>
      <c r="L204" s="18"/>
      <c r="M204" s="18">
        <f t="shared" si="65"/>
        <v>2482.1402479999997</v>
      </c>
      <c r="N204" s="54">
        <v>18.5</v>
      </c>
      <c r="O204" s="54">
        <v>9.01</v>
      </c>
      <c r="P204" s="54">
        <v>2.63</v>
      </c>
      <c r="Q204" s="54" t="s">
        <v>143</v>
      </c>
      <c r="R204" s="54"/>
      <c r="S204" s="54">
        <v>0</v>
      </c>
      <c r="T204" s="54">
        <f t="shared" si="60"/>
        <v>-14018.2</v>
      </c>
      <c r="U204" s="54">
        <f t="shared" si="55"/>
        <v>-2803.6400000000003</v>
      </c>
      <c r="V204" s="54">
        <f t="shared" si="61"/>
        <v>2803.6400000000003</v>
      </c>
      <c r="W204" s="54"/>
    </row>
    <row r="205" spans="1:23" ht="26" x14ac:dyDescent="0.6">
      <c r="A205" s="72">
        <v>1510</v>
      </c>
      <c r="B205" s="20">
        <v>45803</v>
      </c>
      <c r="C205" s="32" t="s">
        <v>142</v>
      </c>
      <c r="D205" s="18">
        <v>15.2</v>
      </c>
      <c r="E205" s="18">
        <v>1</v>
      </c>
      <c r="F205" s="17">
        <f t="shared" si="67"/>
        <v>15.2</v>
      </c>
      <c r="G205" s="17">
        <f t="shared" si="66"/>
        <v>8.8919999999999995</v>
      </c>
      <c r="H205" s="17">
        <f t="shared" si="68"/>
        <v>5776</v>
      </c>
      <c r="I205" s="21">
        <f t="shared" si="69"/>
        <v>7843.4553599999999</v>
      </c>
      <c r="J205" s="18"/>
      <c r="K205" s="18">
        <v>9420</v>
      </c>
      <c r="L205" s="18"/>
      <c r="M205" s="18">
        <f t="shared" si="65"/>
        <v>1576.5446400000001</v>
      </c>
      <c r="N205" s="54">
        <v>18.5</v>
      </c>
      <c r="O205" s="54">
        <v>7.09</v>
      </c>
      <c r="P205" s="54">
        <v>1.57</v>
      </c>
      <c r="Q205" s="54" t="s">
        <v>120</v>
      </c>
      <c r="R205" s="54"/>
      <c r="S205" s="54">
        <v>0</v>
      </c>
      <c r="T205" s="54">
        <f t="shared" si="60"/>
        <v>-5776</v>
      </c>
      <c r="U205" s="54">
        <f t="shared" si="55"/>
        <v>-1155.2</v>
      </c>
      <c r="V205" s="54">
        <f t="shared" si="61"/>
        <v>1155.2</v>
      </c>
      <c r="W205" s="54"/>
    </row>
    <row r="206" spans="1:23" ht="26" x14ac:dyDescent="0.6">
      <c r="A206" s="72">
        <v>1511</v>
      </c>
      <c r="B206" s="20">
        <v>45803</v>
      </c>
      <c r="C206" s="32" t="s">
        <v>141</v>
      </c>
      <c r="D206" s="18">
        <v>7.9</v>
      </c>
      <c r="E206" s="18">
        <v>1</v>
      </c>
      <c r="F206" s="17">
        <f t="shared" si="67"/>
        <v>7.9</v>
      </c>
      <c r="G206" s="17">
        <f t="shared" si="66"/>
        <v>4.6215000000000002</v>
      </c>
      <c r="H206" s="17">
        <f t="shared" si="68"/>
        <v>3002</v>
      </c>
      <c r="I206" s="21">
        <f t="shared" si="69"/>
        <v>4076.5327200000002</v>
      </c>
      <c r="J206" s="18"/>
      <c r="K206" s="18">
        <v>5307</v>
      </c>
      <c r="L206" s="18"/>
      <c r="M206" s="18">
        <f t="shared" si="65"/>
        <v>1230.4672799999998</v>
      </c>
      <c r="N206" s="54">
        <v>18</v>
      </c>
      <c r="O206" s="54">
        <v>3.54</v>
      </c>
      <c r="P206" s="54">
        <v>1.32</v>
      </c>
      <c r="Q206" s="54" t="s">
        <v>173</v>
      </c>
      <c r="R206" s="54"/>
      <c r="S206" s="54">
        <v>0</v>
      </c>
      <c r="T206" s="54">
        <f t="shared" si="60"/>
        <v>-3002</v>
      </c>
      <c r="U206" s="54">
        <f t="shared" si="55"/>
        <v>-600.4</v>
      </c>
      <c r="V206" s="54">
        <f t="shared" si="61"/>
        <v>600.4</v>
      </c>
      <c r="W206" s="54"/>
    </row>
    <row r="207" spans="1:23" ht="26" x14ac:dyDescent="0.6">
      <c r="A207" s="72">
        <v>1512</v>
      </c>
      <c r="B207" s="20">
        <v>45803</v>
      </c>
      <c r="C207" s="32" t="s">
        <v>145</v>
      </c>
      <c r="D207" s="18">
        <v>8.31</v>
      </c>
      <c r="E207" s="18">
        <v>1</v>
      </c>
      <c r="F207" s="17">
        <f t="shared" si="67"/>
        <v>8.31</v>
      </c>
      <c r="G207" s="17">
        <f t="shared" si="66"/>
        <v>4.8613499999999998</v>
      </c>
      <c r="H207" s="17">
        <f t="shared" si="68"/>
        <v>3157.8</v>
      </c>
      <c r="I207" s="21">
        <f t="shared" si="69"/>
        <v>4288.0996080000004</v>
      </c>
      <c r="J207" s="18"/>
      <c r="K207" s="18">
        <v>5539</v>
      </c>
      <c r="L207" s="18"/>
      <c r="M207" s="18">
        <f t="shared" si="65"/>
        <v>1250.9003919999996</v>
      </c>
      <c r="N207" s="54">
        <v>19</v>
      </c>
      <c r="O207" s="54">
        <v>7.62</v>
      </c>
      <c r="P207" s="54">
        <v>3.81</v>
      </c>
      <c r="Q207" s="54"/>
      <c r="R207" s="54"/>
      <c r="S207" s="54">
        <v>0</v>
      </c>
      <c r="T207" s="54">
        <f t="shared" si="60"/>
        <v>-3157.8</v>
      </c>
      <c r="U207" s="54">
        <f t="shared" si="55"/>
        <v>-631.56000000000006</v>
      </c>
      <c r="V207" s="54">
        <f t="shared" si="61"/>
        <v>631.56000000000006</v>
      </c>
      <c r="W207" s="54"/>
    </row>
    <row r="208" spans="1:23" ht="26" x14ac:dyDescent="0.6">
      <c r="A208" s="72">
        <v>1513</v>
      </c>
      <c r="B208" s="20">
        <v>45803</v>
      </c>
      <c r="C208" s="32" t="s">
        <v>220</v>
      </c>
      <c r="D208" s="18">
        <v>21.87</v>
      </c>
      <c r="E208" s="18">
        <v>1</v>
      </c>
      <c r="F208" s="17">
        <f t="shared" si="67"/>
        <v>21.87</v>
      </c>
      <c r="G208" s="17">
        <f>+D208*0.75</f>
        <v>16.4025</v>
      </c>
      <c r="H208" s="17">
        <f>+D208*485</f>
        <v>10606.95</v>
      </c>
      <c r="I208" s="21">
        <f t="shared" si="69"/>
        <v>14468.317200000001</v>
      </c>
      <c r="J208" s="18"/>
      <c r="K208" s="18">
        <v>16335</v>
      </c>
      <c r="L208" s="18"/>
      <c r="M208" s="18">
        <f t="shared" si="65"/>
        <v>1866.6827999999987</v>
      </c>
      <c r="N208" s="54">
        <v>19</v>
      </c>
      <c r="O208" s="54">
        <v>9.4</v>
      </c>
      <c r="P208" s="54">
        <v>2.16</v>
      </c>
      <c r="Q208" s="54" t="s">
        <v>219</v>
      </c>
      <c r="R208" s="54"/>
      <c r="S208" s="54">
        <v>0</v>
      </c>
      <c r="T208" s="54">
        <f t="shared" si="60"/>
        <v>-10606.95</v>
      </c>
      <c r="U208" s="54">
        <f t="shared" si="55"/>
        <v>-2121.3900000000003</v>
      </c>
      <c r="V208" s="54">
        <f t="shared" si="61"/>
        <v>2121.3900000000003</v>
      </c>
      <c r="W208" s="54"/>
    </row>
    <row r="209" spans="1:23" ht="26" x14ac:dyDescent="0.6">
      <c r="A209" s="72">
        <v>1517</v>
      </c>
      <c r="B209" s="20">
        <v>45803</v>
      </c>
      <c r="C209" s="32" t="s">
        <v>221</v>
      </c>
      <c r="D209" s="18">
        <v>24.24</v>
      </c>
      <c r="E209" s="18">
        <v>1</v>
      </c>
      <c r="F209" s="17">
        <f t="shared" si="67"/>
        <v>24.24</v>
      </c>
      <c r="G209" s="17">
        <f t="shared" ref="G209:G210" si="70">+D209*0.916</f>
        <v>22.20384</v>
      </c>
      <c r="H209" s="17">
        <f t="shared" ref="H209:H210" si="71">+D209*600</f>
        <v>14543.999999999998</v>
      </c>
      <c r="I209" s="21">
        <f>+$K$4*G209</f>
        <v>19585.563187200001</v>
      </c>
      <c r="J209" s="18"/>
      <c r="K209" s="18">
        <v>21448</v>
      </c>
      <c r="L209" s="18"/>
      <c r="M209" s="18">
        <f t="shared" ref="M209:M218" si="72">+K209-I209</f>
        <v>1862.4368127999987</v>
      </c>
      <c r="N209" s="54" t="s">
        <v>222</v>
      </c>
      <c r="O209" s="54">
        <v>10.65</v>
      </c>
      <c r="P209" s="54">
        <v>2.2999999999999998</v>
      </c>
      <c r="Q209" s="54" t="s">
        <v>223</v>
      </c>
      <c r="R209" s="54"/>
      <c r="S209" s="54">
        <v>0</v>
      </c>
      <c r="T209" s="54">
        <f t="shared" si="60"/>
        <v>-14543.999999999998</v>
      </c>
      <c r="U209" s="54">
        <f t="shared" si="55"/>
        <v>-2908.7999999999997</v>
      </c>
      <c r="V209" s="54">
        <f t="shared" si="61"/>
        <v>2908.7999999999997</v>
      </c>
      <c r="W209" s="54"/>
    </row>
    <row r="210" spans="1:23" ht="26" x14ac:dyDescent="0.6">
      <c r="A210" s="72">
        <v>1521</v>
      </c>
      <c r="B210" s="20">
        <v>45803</v>
      </c>
      <c r="C210" s="32" t="s">
        <v>221</v>
      </c>
      <c r="D210" s="18">
        <v>17.059999999999999</v>
      </c>
      <c r="E210" s="18">
        <v>1</v>
      </c>
      <c r="F210" s="17">
        <f t="shared" si="67"/>
        <v>17.059999999999999</v>
      </c>
      <c r="G210" s="17">
        <f t="shared" si="70"/>
        <v>15.626959999999999</v>
      </c>
      <c r="H210" s="17">
        <f t="shared" si="71"/>
        <v>10236</v>
      </c>
      <c r="I210" s="21">
        <f t="shared" si="69"/>
        <v>13784.2288768</v>
      </c>
      <c r="J210" s="18"/>
      <c r="K210" s="18">
        <v>15234</v>
      </c>
      <c r="L210" s="18"/>
      <c r="M210" s="18">
        <f t="shared" si="72"/>
        <v>1449.7711232000001</v>
      </c>
      <c r="N210" s="54" t="s">
        <v>224</v>
      </c>
      <c r="O210" s="54">
        <v>4.3499999999999996</v>
      </c>
      <c r="P210" s="54">
        <v>1.6</v>
      </c>
      <c r="Q210" s="54"/>
      <c r="R210" s="54"/>
      <c r="S210" s="54">
        <v>0</v>
      </c>
      <c r="T210" s="54">
        <f t="shared" si="60"/>
        <v>-10236</v>
      </c>
      <c r="U210" s="54">
        <f t="shared" si="55"/>
        <v>-2047.2</v>
      </c>
      <c r="V210" s="54">
        <f t="shared" si="61"/>
        <v>2047.2</v>
      </c>
      <c r="W210" s="54"/>
    </row>
    <row r="211" spans="1:23" ht="26" x14ac:dyDescent="0.6">
      <c r="A211" s="72">
        <v>1524</v>
      </c>
      <c r="B211" s="20">
        <v>45803</v>
      </c>
      <c r="C211" s="32" t="s">
        <v>225</v>
      </c>
      <c r="D211" s="18">
        <v>20.58</v>
      </c>
      <c r="E211" s="18">
        <v>1</v>
      </c>
      <c r="F211" s="17">
        <f t="shared" si="67"/>
        <v>20.58</v>
      </c>
      <c r="G211" s="17">
        <v>16.103300000000001</v>
      </c>
      <c r="H211" s="17">
        <v>10826</v>
      </c>
      <c r="I211" s="21">
        <f>+$K$4*G211</f>
        <v>14204.398864000001</v>
      </c>
      <c r="J211" s="18"/>
      <c r="K211" s="18">
        <v>16327</v>
      </c>
      <c r="L211" s="18"/>
      <c r="M211" s="18">
        <f t="shared" si="72"/>
        <v>2122.6011359999993</v>
      </c>
      <c r="N211" s="54">
        <v>10</v>
      </c>
      <c r="O211" s="54" t="s">
        <v>228</v>
      </c>
      <c r="P211" s="54">
        <v>2.58</v>
      </c>
      <c r="Q211" s="54" t="e">
        <f>+#REF!*402</f>
        <v>#REF!</v>
      </c>
      <c r="R211" s="54" t="e">
        <f>+#REF!*610</f>
        <v>#REF!</v>
      </c>
      <c r="S211" s="54">
        <v>0</v>
      </c>
      <c r="T211" s="54">
        <f t="shared" si="60"/>
        <v>-10826</v>
      </c>
      <c r="U211" s="54">
        <f t="shared" si="55"/>
        <v>-2165.2000000000003</v>
      </c>
      <c r="V211" s="54">
        <f t="shared" si="61"/>
        <v>2165.2000000000003</v>
      </c>
      <c r="W211" s="54"/>
    </row>
    <row r="212" spans="1:23" ht="26" x14ac:dyDescent="0.6">
      <c r="A212" s="72">
        <v>1526</v>
      </c>
      <c r="B212" s="20">
        <v>45803</v>
      </c>
      <c r="C212" s="32" t="s">
        <v>226</v>
      </c>
      <c r="D212" s="18">
        <v>11.2</v>
      </c>
      <c r="E212" s="18">
        <v>1</v>
      </c>
      <c r="F212" s="17">
        <f t="shared" si="67"/>
        <v>11.2</v>
      </c>
      <c r="G212" s="17">
        <v>8.9352</v>
      </c>
      <c r="H212" s="17">
        <v>6000</v>
      </c>
      <c r="I212" s="21">
        <f t="shared" si="69"/>
        <v>7881.5612160000001</v>
      </c>
      <c r="J212" s="18"/>
      <c r="K212" s="18">
        <v>9093</v>
      </c>
      <c r="L212" s="18"/>
      <c r="M212" s="18">
        <f t="shared" si="72"/>
        <v>1211.4387839999999</v>
      </c>
      <c r="N212" s="54">
        <v>4</v>
      </c>
      <c r="O212" s="54">
        <v>28.78</v>
      </c>
      <c r="P212" s="54">
        <v>2.5</v>
      </c>
      <c r="Q212" s="54" t="e">
        <f>+#REF!*0.585</f>
        <v>#REF!</v>
      </c>
      <c r="R212" s="54" t="e">
        <f>#REF!*0.916</f>
        <v>#REF!</v>
      </c>
      <c r="S212" s="54">
        <v>0</v>
      </c>
      <c r="T212" s="54">
        <f t="shared" si="60"/>
        <v>-6000</v>
      </c>
      <c r="U212" s="54">
        <f t="shared" si="55"/>
        <v>-1200</v>
      </c>
      <c r="V212" s="54">
        <f t="shared" si="61"/>
        <v>1200</v>
      </c>
      <c r="W212" s="54"/>
    </row>
    <row r="213" spans="1:23" ht="26" x14ac:dyDescent="0.6">
      <c r="A213" s="72">
        <v>1527</v>
      </c>
      <c r="B213" s="20">
        <v>45803</v>
      </c>
      <c r="C213" s="32" t="s">
        <v>226</v>
      </c>
      <c r="D213" s="18">
        <v>11.58</v>
      </c>
      <c r="E213" s="18">
        <v>1</v>
      </c>
      <c r="F213" s="17">
        <f t="shared" si="67"/>
        <v>11.58</v>
      </c>
      <c r="G213" s="17">
        <v>9.1575000000000006</v>
      </c>
      <c r="H213" s="17">
        <v>6152.76</v>
      </c>
      <c r="I213" s="21">
        <f t="shared" si="69"/>
        <v>8077.6476000000011</v>
      </c>
      <c r="J213" s="18"/>
      <c r="K213" s="18">
        <v>9325</v>
      </c>
      <c r="L213" s="18"/>
      <c r="M213" s="18">
        <f t="shared" si="72"/>
        <v>1247.3523999999989</v>
      </c>
      <c r="N213" s="54">
        <v>3.8</v>
      </c>
      <c r="O213" s="54">
        <v>32.14</v>
      </c>
      <c r="P213" s="54">
        <v>2.52</v>
      </c>
      <c r="Q213" s="54"/>
      <c r="R213" s="54" t="e">
        <f>+R212+Q212</f>
        <v>#REF!</v>
      </c>
      <c r="S213" s="54">
        <v>0</v>
      </c>
      <c r="T213" s="54">
        <f t="shared" si="60"/>
        <v>-6152.76</v>
      </c>
      <c r="U213" s="54">
        <f t="shared" si="55"/>
        <v>-1230.5520000000001</v>
      </c>
      <c r="V213" s="54">
        <f t="shared" si="61"/>
        <v>1230.5520000000001</v>
      </c>
      <c r="W213" s="54"/>
    </row>
    <row r="214" spans="1:23" ht="26" x14ac:dyDescent="0.6">
      <c r="A214" s="72">
        <v>1528</v>
      </c>
      <c r="B214" s="20">
        <v>45803</v>
      </c>
      <c r="C214" s="32" t="s">
        <v>226</v>
      </c>
      <c r="D214" s="18">
        <v>7.95</v>
      </c>
      <c r="E214" s="18">
        <v>1</v>
      </c>
      <c r="F214" s="17">
        <f t="shared" si="67"/>
        <v>7.95</v>
      </c>
      <c r="G214" s="17">
        <v>7.0330000000000004</v>
      </c>
      <c r="H214" s="17">
        <v>4693</v>
      </c>
      <c r="I214" s="21">
        <f t="shared" si="69"/>
        <v>6203.6686400000008</v>
      </c>
      <c r="J214" s="18"/>
      <c r="K214" s="18">
        <v>7318</v>
      </c>
      <c r="L214" s="18"/>
      <c r="M214" s="18">
        <f t="shared" si="72"/>
        <v>1114.3313599999992</v>
      </c>
      <c r="N214" s="54">
        <v>3.5</v>
      </c>
      <c r="O214" s="54">
        <v>22.86</v>
      </c>
      <c r="P214" s="54">
        <v>2.13</v>
      </c>
      <c r="Q214" s="54"/>
      <c r="R214" s="54"/>
      <c r="S214" s="54">
        <v>0</v>
      </c>
      <c r="T214" s="54">
        <f t="shared" si="60"/>
        <v>-4693</v>
      </c>
      <c r="U214" s="54">
        <f t="shared" si="55"/>
        <v>-938.6</v>
      </c>
      <c r="V214" s="54">
        <f t="shared" si="61"/>
        <v>938.6</v>
      </c>
      <c r="W214" s="54"/>
    </row>
    <row r="215" spans="1:23" ht="26" x14ac:dyDescent="0.6">
      <c r="A215" s="72">
        <v>1529</v>
      </c>
      <c r="B215" s="20">
        <v>45803</v>
      </c>
      <c r="C215" s="32" t="s">
        <v>226</v>
      </c>
      <c r="D215" s="18">
        <v>7.98</v>
      </c>
      <c r="E215" s="18">
        <v>1</v>
      </c>
      <c r="F215" s="17">
        <f t="shared" si="67"/>
        <v>7.98</v>
      </c>
      <c r="G215" s="17">
        <v>7.0514999999999999</v>
      </c>
      <c r="H215" s="17">
        <v>4705</v>
      </c>
      <c r="I215" s="21">
        <f t="shared" si="69"/>
        <v>6219.9871199999998</v>
      </c>
      <c r="J215" s="18"/>
      <c r="K215" s="18">
        <v>7337</v>
      </c>
      <c r="L215" s="18"/>
      <c r="M215" s="18">
        <f t="shared" si="72"/>
        <v>1117.0128800000002</v>
      </c>
      <c r="N215" s="54">
        <v>3.6</v>
      </c>
      <c r="O215" s="54">
        <v>22.74</v>
      </c>
      <c r="P215" s="54">
        <v>2.08</v>
      </c>
      <c r="Q215" s="54">
        <f>5304+2680+1340</f>
        <v>9324</v>
      </c>
      <c r="R215" s="54">
        <f>7.016+3.508+1.754</f>
        <v>12.278</v>
      </c>
      <c r="S215" s="54">
        <v>0</v>
      </c>
      <c r="T215" s="54">
        <f t="shared" si="60"/>
        <v>-4705</v>
      </c>
      <c r="U215" s="54">
        <f t="shared" si="55"/>
        <v>-941</v>
      </c>
      <c r="V215" s="54">
        <f t="shared" si="61"/>
        <v>941</v>
      </c>
      <c r="W215" s="54"/>
    </row>
    <row r="216" spans="1:23" ht="26" x14ac:dyDescent="0.6">
      <c r="A216" s="72">
        <v>1530</v>
      </c>
      <c r="B216" s="20">
        <v>45803</v>
      </c>
      <c r="C216" s="32" t="s">
        <v>226</v>
      </c>
      <c r="D216" s="18">
        <v>7.8</v>
      </c>
      <c r="E216" s="18">
        <v>1</v>
      </c>
      <c r="F216" s="17">
        <f t="shared" si="67"/>
        <v>7.8</v>
      </c>
      <c r="G216" s="17">
        <v>6.9462000000000002</v>
      </c>
      <c r="H216" s="17">
        <v>4633</v>
      </c>
      <c r="I216" s="21">
        <f t="shared" si="69"/>
        <v>6127.104096</v>
      </c>
      <c r="J216" s="18"/>
      <c r="K216" s="18">
        <v>7227</v>
      </c>
      <c r="L216" s="18"/>
      <c r="M216" s="18">
        <f t="shared" si="72"/>
        <v>1099.895904</v>
      </c>
      <c r="N216" s="54">
        <v>3.5</v>
      </c>
      <c r="O216" s="54">
        <v>22.9</v>
      </c>
      <c r="P216" s="54">
        <v>2.38</v>
      </c>
      <c r="Q216" s="54">
        <f>+K211-Q215</f>
        <v>7003</v>
      </c>
      <c r="R216" s="54">
        <f>20.58-R215</f>
        <v>8.3019999999999978</v>
      </c>
      <c r="S216" s="54">
        <v>0</v>
      </c>
      <c r="T216" s="54">
        <f t="shared" si="60"/>
        <v>-4633</v>
      </c>
      <c r="U216" s="54">
        <f t="shared" si="55"/>
        <v>-926.6</v>
      </c>
      <c r="V216" s="54">
        <f t="shared" si="61"/>
        <v>926.6</v>
      </c>
      <c r="W216" s="54"/>
    </row>
    <row r="217" spans="1:23" s="102" customFormat="1" ht="26" x14ac:dyDescent="0.6">
      <c r="A217" s="63">
        <v>1531</v>
      </c>
      <c r="B217" s="64">
        <v>45803</v>
      </c>
      <c r="C217" s="99" t="s">
        <v>226</v>
      </c>
      <c r="D217" s="63">
        <v>7.85</v>
      </c>
      <c r="E217" s="63">
        <v>1</v>
      </c>
      <c r="F217" s="100">
        <f t="shared" si="67"/>
        <v>7.85</v>
      </c>
      <c r="G217" s="100">
        <v>6.9749999999999996</v>
      </c>
      <c r="H217" s="100">
        <v>4653</v>
      </c>
      <c r="I217" s="65">
        <f t="shared" si="69"/>
        <v>6152.5079999999998</v>
      </c>
      <c r="J217" s="63"/>
      <c r="K217" s="63">
        <v>7258</v>
      </c>
      <c r="L217" s="63"/>
      <c r="M217" s="63">
        <f t="shared" si="72"/>
        <v>1105.4920000000002</v>
      </c>
      <c r="N217" s="101">
        <v>3.5</v>
      </c>
      <c r="O217" s="101">
        <v>22.79</v>
      </c>
      <c r="P217" s="101">
        <v>1.95</v>
      </c>
      <c r="Q217" s="101" t="s">
        <v>341</v>
      </c>
      <c r="R217" s="101"/>
      <c r="S217" s="101">
        <v>7562.26</v>
      </c>
      <c r="T217" s="101">
        <f>+S217-H217</f>
        <v>2909.26</v>
      </c>
      <c r="U217" s="101">
        <f>+T217*0.2</f>
        <v>581.85200000000009</v>
      </c>
      <c r="V217" s="101">
        <f>+S217-U217</f>
        <v>6980.4080000000004</v>
      </c>
      <c r="W217" s="101"/>
    </row>
    <row r="218" spans="1:23" ht="26" x14ac:dyDescent="0.6">
      <c r="A218" s="72">
        <v>1532</v>
      </c>
      <c r="B218" s="20">
        <v>45803</v>
      </c>
      <c r="C218" s="32" t="s">
        <v>227</v>
      </c>
      <c r="D218" s="18">
        <v>4.22</v>
      </c>
      <c r="E218" s="18">
        <v>1</v>
      </c>
      <c r="F218" s="17">
        <f t="shared" si="67"/>
        <v>4.22</v>
      </c>
      <c r="G218" s="17">
        <f>+D218*0.916</f>
        <v>3.8655200000000001</v>
      </c>
      <c r="H218" s="17">
        <f>+D218*602</f>
        <v>2540.44</v>
      </c>
      <c r="I218" s="21">
        <f t="shared" si="69"/>
        <v>3409.6978816000001</v>
      </c>
      <c r="J218" s="18"/>
      <c r="K218" s="18">
        <v>4749</v>
      </c>
      <c r="L218" s="18"/>
      <c r="M218" s="18">
        <f t="shared" si="72"/>
        <v>1339.3021183999999</v>
      </c>
      <c r="N218" s="54">
        <v>3</v>
      </c>
      <c r="O218" s="54">
        <v>15.03</v>
      </c>
      <c r="P218" s="54">
        <v>0.59</v>
      </c>
      <c r="Q218" s="54"/>
      <c r="R218" s="54"/>
      <c r="S218" s="54">
        <v>0</v>
      </c>
      <c r="T218" s="54">
        <f t="shared" si="60"/>
        <v>-2540.44</v>
      </c>
      <c r="U218" s="54">
        <f t="shared" si="55"/>
        <v>-508.08800000000002</v>
      </c>
      <c r="V218" s="54">
        <f t="shared" si="61"/>
        <v>508.08800000000002</v>
      </c>
      <c r="W218" s="54"/>
    </row>
    <row r="219" spans="1:23" ht="26" x14ac:dyDescent="0.6">
      <c r="A219" s="72">
        <v>1533</v>
      </c>
      <c r="B219" s="20"/>
      <c r="C219" s="80" t="s">
        <v>229</v>
      </c>
      <c r="D219" s="18">
        <v>5.6</v>
      </c>
      <c r="E219" s="18">
        <v>1</v>
      </c>
      <c r="F219" s="17">
        <f t="shared" ref="F219:F248" si="73">+D219</f>
        <v>5.6</v>
      </c>
      <c r="G219" s="17">
        <f>+D219*0.75</f>
        <v>4.1999999999999993</v>
      </c>
      <c r="H219" s="17">
        <f>+D219*570</f>
        <v>3192</v>
      </c>
      <c r="I219" s="21">
        <f>+$K$4*G219</f>
        <v>3704.7359999999994</v>
      </c>
      <c r="J219" s="18"/>
      <c r="K219" s="81" t="s">
        <v>238</v>
      </c>
      <c r="L219" s="81"/>
      <c r="M219" s="18"/>
      <c r="N219" s="54">
        <v>5.9</v>
      </c>
      <c r="O219" s="54">
        <v>48</v>
      </c>
      <c r="P219" s="54">
        <v>4</v>
      </c>
      <c r="Q219" s="54"/>
      <c r="R219" s="71"/>
      <c r="S219" s="54">
        <v>0</v>
      </c>
      <c r="T219" s="54">
        <f t="shared" si="60"/>
        <v>-3192</v>
      </c>
      <c r="U219" s="54">
        <f t="shared" si="55"/>
        <v>-638.40000000000009</v>
      </c>
      <c r="V219" s="54">
        <f t="shared" si="61"/>
        <v>638.40000000000009</v>
      </c>
      <c r="W219" s="54"/>
    </row>
    <row r="220" spans="1:23" ht="26" x14ac:dyDescent="0.6">
      <c r="A220" s="72">
        <v>1534</v>
      </c>
      <c r="B220" s="20"/>
      <c r="C220" s="80" t="s">
        <v>235</v>
      </c>
      <c r="D220" s="18">
        <v>13.17</v>
      </c>
      <c r="E220" s="18">
        <v>1</v>
      </c>
      <c r="F220" s="17">
        <f t="shared" si="73"/>
        <v>13.17</v>
      </c>
      <c r="G220" s="17">
        <f>+D220*0.75</f>
        <v>9.8774999999999995</v>
      </c>
      <c r="H220" s="17">
        <f>+D220*570</f>
        <v>7506.9</v>
      </c>
      <c r="I220" s="21">
        <f t="shared" ref="I220:I248" si="74">+$K$4*G220</f>
        <v>8712.7451999999994</v>
      </c>
      <c r="J220" s="18"/>
      <c r="K220" s="81" t="s">
        <v>238</v>
      </c>
      <c r="L220" s="81"/>
      <c r="M220" s="18"/>
      <c r="N220" s="54" t="s">
        <v>230</v>
      </c>
      <c r="O220" s="54"/>
      <c r="P220" s="54">
        <v>2.0699999999999998</v>
      </c>
      <c r="Q220" s="54"/>
      <c r="R220" s="71"/>
      <c r="S220" s="54">
        <v>0</v>
      </c>
      <c r="T220" s="54">
        <f t="shared" si="60"/>
        <v>-7506.9</v>
      </c>
      <c r="U220" s="54">
        <f t="shared" si="55"/>
        <v>-1501.38</v>
      </c>
      <c r="V220" s="54">
        <f t="shared" si="61"/>
        <v>1501.38</v>
      </c>
      <c r="W220" s="54"/>
    </row>
    <row r="221" spans="1:23" ht="26" x14ac:dyDescent="0.6">
      <c r="A221" s="72">
        <v>1535</v>
      </c>
      <c r="B221" s="20"/>
      <c r="C221" s="80" t="s">
        <v>236</v>
      </c>
      <c r="D221" s="18">
        <v>13.25</v>
      </c>
      <c r="E221" s="18">
        <v>1</v>
      </c>
      <c r="F221" s="17">
        <f t="shared" si="73"/>
        <v>13.25</v>
      </c>
      <c r="G221" s="17">
        <f>+D221*0.75</f>
        <v>9.9375</v>
      </c>
      <c r="H221" s="17">
        <f>+D221*570</f>
        <v>7552.5</v>
      </c>
      <c r="I221" s="21">
        <f t="shared" si="74"/>
        <v>8765.67</v>
      </c>
      <c r="J221" s="18"/>
      <c r="K221" s="81" t="s">
        <v>238</v>
      </c>
      <c r="L221" s="81"/>
      <c r="M221" s="18"/>
      <c r="N221" s="54" t="s">
        <v>230</v>
      </c>
      <c r="O221" s="54"/>
      <c r="P221" s="54">
        <v>2.25</v>
      </c>
      <c r="Q221" s="54"/>
      <c r="R221" s="71"/>
      <c r="S221" s="54">
        <v>0</v>
      </c>
      <c r="T221" s="54">
        <f t="shared" si="60"/>
        <v>-7552.5</v>
      </c>
      <c r="U221" s="54">
        <f t="shared" ref="U221:U251" si="75">+T221*0.2</f>
        <v>-1510.5</v>
      </c>
      <c r="V221" s="54">
        <f t="shared" si="61"/>
        <v>1510.5</v>
      </c>
      <c r="W221" s="54"/>
    </row>
    <row r="222" spans="1:23" ht="26" x14ac:dyDescent="0.6">
      <c r="A222" s="72">
        <v>1536</v>
      </c>
      <c r="B222" s="20"/>
      <c r="C222" s="80" t="s">
        <v>232</v>
      </c>
      <c r="D222" s="18">
        <v>2.64</v>
      </c>
      <c r="E222" s="18">
        <v>1</v>
      </c>
      <c r="F222" s="17">
        <f t="shared" si="73"/>
        <v>2.64</v>
      </c>
      <c r="G222" s="17">
        <f>+D222*0.75</f>
        <v>1.98</v>
      </c>
      <c r="H222" s="17">
        <f>+D222*570</f>
        <v>1504.8000000000002</v>
      </c>
      <c r="I222" s="21">
        <f t="shared" si="74"/>
        <v>1746.5184000000002</v>
      </c>
      <c r="J222" s="18"/>
      <c r="K222" s="81" t="s">
        <v>238</v>
      </c>
      <c r="L222" s="81"/>
      <c r="M222" s="18"/>
      <c r="N222" s="54" t="s">
        <v>233</v>
      </c>
      <c r="O222" s="54">
        <v>1.4</v>
      </c>
      <c r="P222" s="54">
        <v>0.72</v>
      </c>
      <c r="Q222" s="54" t="s">
        <v>234</v>
      </c>
      <c r="R222" s="71"/>
      <c r="S222" s="54">
        <v>0</v>
      </c>
      <c r="T222" s="54">
        <f t="shared" si="60"/>
        <v>-1504.8000000000002</v>
      </c>
      <c r="U222" s="54">
        <f t="shared" si="75"/>
        <v>-300.96000000000004</v>
      </c>
      <c r="V222" s="54">
        <f t="shared" si="61"/>
        <v>300.96000000000004</v>
      </c>
      <c r="W222" s="54"/>
    </row>
    <row r="223" spans="1:23" ht="26" x14ac:dyDescent="0.6">
      <c r="A223" s="72" t="s">
        <v>231</v>
      </c>
      <c r="B223" s="20"/>
      <c r="C223" s="80" t="s">
        <v>232</v>
      </c>
      <c r="D223" s="18">
        <v>2.92</v>
      </c>
      <c r="E223" s="18"/>
      <c r="F223" s="17">
        <f t="shared" si="73"/>
        <v>2.92</v>
      </c>
      <c r="G223" s="17">
        <f>+D223*0.75</f>
        <v>2.19</v>
      </c>
      <c r="H223" s="17">
        <f>+D223*570</f>
        <v>1664.3999999999999</v>
      </c>
      <c r="I223" s="21">
        <f t="shared" si="74"/>
        <v>1931.7552000000001</v>
      </c>
      <c r="J223" s="18"/>
      <c r="K223" s="18"/>
      <c r="L223" s="18"/>
      <c r="M223" s="18"/>
      <c r="N223" s="54" t="s">
        <v>233</v>
      </c>
      <c r="O223" s="54">
        <v>1.4</v>
      </c>
      <c r="P223" s="54">
        <v>0.72</v>
      </c>
      <c r="Q223" s="54" t="s">
        <v>234</v>
      </c>
      <c r="R223" s="71"/>
      <c r="S223" s="54">
        <v>0</v>
      </c>
      <c r="T223" s="54">
        <f t="shared" si="60"/>
        <v>-1664.3999999999999</v>
      </c>
      <c r="U223" s="54">
        <f t="shared" si="75"/>
        <v>-332.88</v>
      </c>
      <c r="V223" s="54">
        <f t="shared" si="61"/>
        <v>332.88</v>
      </c>
      <c r="W223" s="54"/>
    </row>
    <row r="224" spans="1:23" ht="26" x14ac:dyDescent="0.6">
      <c r="A224" s="72">
        <v>1537</v>
      </c>
      <c r="B224" s="20"/>
      <c r="C224" s="82" t="s">
        <v>232</v>
      </c>
      <c r="D224" s="18">
        <v>2.88</v>
      </c>
      <c r="E224" s="18">
        <v>2</v>
      </c>
      <c r="F224" s="17">
        <f>+E224*D224</f>
        <v>5.76</v>
      </c>
      <c r="G224" s="17">
        <f>+F224*0.75</f>
        <v>4.32</v>
      </c>
      <c r="H224" s="17">
        <f>+F224*570</f>
        <v>3283.2</v>
      </c>
      <c r="I224" s="21">
        <f t="shared" si="74"/>
        <v>3810.5856000000003</v>
      </c>
      <c r="J224" s="18"/>
      <c r="K224" s="83" t="s">
        <v>237</v>
      </c>
      <c r="L224" s="83"/>
      <c r="M224" s="18"/>
      <c r="N224" s="54" t="s">
        <v>233</v>
      </c>
      <c r="O224" s="54">
        <v>1.4</v>
      </c>
      <c r="P224" s="54">
        <v>0.72</v>
      </c>
      <c r="Q224" s="54" t="s">
        <v>234</v>
      </c>
      <c r="R224" s="71"/>
      <c r="S224" s="54">
        <v>0</v>
      </c>
      <c r="T224" s="54">
        <f t="shared" si="60"/>
        <v>-3283.2</v>
      </c>
      <c r="U224" s="54">
        <f t="shared" si="75"/>
        <v>-656.64</v>
      </c>
      <c r="V224" s="54">
        <f t="shared" si="61"/>
        <v>656.64</v>
      </c>
      <c r="W224" s="54"/>
    </row>
    <row r="225" spans="1:23" ht="26" x14ac:dyDescent="0.6">
      <c r="A225" s="72">
        <v>1538</v>
      </c>
      <c r="B225" s="20"/>
      <c r="C225" s="82" t="s">
        <v>239</v>
      </c>
      <c r="D225" s="18">
        <v>5.1100000000000003</v>
      </c>
      <c r="E225" s="18">
        <v>1</v>
      </c>
      <c r="F225" s="17">
        <f t="shared" si="73"/>
        <v>5.1100000000000003</v>
      </c>
      <c r="G225" s="17">
        <f t="shared" ref="G225:G231" si="76">+D225*0.75</f>
        <v>3.8325000000000005</v>
      </c>
      <c r="H225" s="17">
        <f t="shared" ref="H225:H231" si="77">+D225*570</f>
        <v>2912.7000000000003</v>
      </c>
      <c r="I225" s="21">
        <f t="shared" si="74"/>
        <v>3380.5716000000007</v>
      </c>
      <c r="J225" s="18"/>
      <c r="K225" s="83" t="s">
        <v>237</v>
      </c>
      <c r="L225" s="83"/>
      <c r="M225" s="18"/>
      <c r="N225" s="54">
        <v>16</v>
      </c>
      <c r="O225" s="54">
        <v>3.62</v>
      </c>
      <c r="P225" s="54">
        <v>0.6</v>
      </c>
      <c r="Q225" s="54"/>
      <c r="R225" s="71"/>
      <c r="S225" s="54">
        <v>0</v>
      </c>
      <c r="T225" s="54">
        <f t="shared" si="60"/>
        <v>-2912.7000000000003</v>
      </c>
      <c r="U225" s="54">
        <f t="shared" si="75"/>
        <v>-582.54000000000008</v>
      </c>
      <c r="V225" s="54">
        <f t="shared" si="61"/>
        <v>582.54000000000008</v>
      </c>
      <c r="W225" s="54"/>
    </row>
    <row r="226" spans="1:23" ht="26" x14ac:dyDescent="0.6">
      <c r="A226" s="72">
        <v>1539</v>
      </c>
      <c r="B226" s="20"/>
      <c r="C226" s="82" t="s">
        <v>139</v>
      </c>
      <c r="D226" s="18">
        <v>2.91</v>
      </c>
      <c r="E226" s="18">
        <v>1</v>
      </c>
      <c r="F226" s="17">
        <f t="shared" si="73"/>
        <v>2.91</v>
      </c>
      <c r="G226" s="17">
        <f t="shared" si="76"/>
        <v>2.1825000000000001</v>
      </c>
      <c r="H226" s="17">
        <f t="shared" si="77"/>
        <v>1658.7</v>
      </c>
      <c r="I226" s="21">
        <f t="shared" si="74"/>
        <v>1925.1396000000002</v>
      </c>
      <c r="J226" s="18"/>
      <c r="K226" s="83" t="s">
        <v>237</v>
      </c>
      <c r="L226" s="83"/>
      <c r="M226" s="18"/>
      <c r="N226" s="54" t="s">
        <v>240</v>
      </c>
      <c r="O226" s="54"/>
      <c r="P226" s="54">
        <v>1.75</v>
      </c>
      <c r="Q226" s="54" t="s">
        <v>241</v>
      </c>
      <c r="R226" s="71"/>
      <c r="S226" s="54">
        <v>0</v>
      </c>
      <c r="T226" s="54">
        <f t="shared" si="60"/>
        <v>-1658.7</v>
      </c>
      <c r="U226" s="54">
        <f t="shared" si="75"/>
        <v>-331.74</v>
      </c>
      <c r="V226" s="54">
        <f t="shared" si="61"/>
        <v>331.74</v>
      </c>
      <c r="W226" s="54"/>
    </row>
    <row r="227" spans="1:23" ht="26" x14ac:dyDescent="0.6">
      <c r="A227" s="72">
        <v>1540</v>
      </c>
      <c r="B227" s="20"/>
      <c r="C227" s="82" t="s">
        <v>242</v>
      </c>
      <c r="D227" s="18">
        <v>5.24</v>
      </c>
      <c r="E227" s="18">
        <v>1</v>
      </c>
      <c r="F227" s="17">
        <f t="shared" si="73"/>
        <v>5.24</v>
      </c>
      <c r="G227" s="17">
        <f t="shared" si="76"/>
        <v>3.93</v>
      </c>
      <c r="H227" s="17">
        <f t="shared" si="77"/>
        <v>2986.8</v>
      </c>
      <c r="I227" s="21">
        <f t="shared" si="74"/>
        <v>3466.5744000000004</v>
      </c>
      <c r="J227" s="18"/>
      <c r="K227" s="83" t="s">
        <v>237</v>
      </c>
      <c r="L227" s="83"/>
      <c r="M227" s="18"/>
      <c r="N227" s="54" t="s">
        <v>243</v>
      </c>
      <c r="O227" s="54"/>
      <c r="P227" s="54">
        <v>1.87</v>
      </c>
      <c r="Q227" s="54"/>
      <c r="R227" s="71"/>
      <c r="S227" s="54">
        <v>0</v>
      </c>
      <c r="T227" s="54">
        <f t="shared" si="60"/>
        <v>-2986.8</v>
      </c>
      <c r="U227" s="54">
        <f t="shared" si="75"/>
        <v>-597.36</v>
      </c>
      <c r="V227" s="54">
        <f t="shared" si="61"/>
        <v>597.36</v>
      </c>
      <c r="W227" s="54"/>
    </row>
    <row r="228" spans="1:23" ht="26" x14ac:dyDescent="0.6">
      <c r="A228" s="72">
        <v>1541</v>
      </c>
      <c r="B228" s="20"/>
      <c r="C228" s="82" t="s">
        <v>244</v>
      </c>
      <c r="D228" s="18">
        <v>1.78</v>
      </c>
      <c r="E228" s="18">
        <v>1</v>
      </c>
      <c r="F228" s="17">
        <f t="shared" si="73"/>
        <v>1.78</v>
      </c>
      <c r="G228" s="17">
        <f t="shared" si="76"/>
        <v>1.335</v>
      </c>
      <c r="H228" s="17">
        <f t="shared" si="77"/>
        <v>1014.6</v>
      </c>
      <c r="I228" s="21">
        <f t="shared" si="74"/>
        <v>1177.5768</v>
      </c>
      <c r="J228" s="18"/>
      <c r="K228" s="83" t="s">
        <v>237</v>
      </c>
      <c r="L228" s="83"/>
      <c r="M228" s="18"/>
      <c r="N228" s="54" t="s">
        <v>172</v>
      </c>
      <c r="O228" s="54">
        <v>3</v>
      </c>
      <c r="P228" s="54">
        <v>3</v>
      </c>
      <c r="Q228" s="54" t="s">
        <v>245</v>
      </c>
      <c r="R228" s="71"/>
      <c r="S228" s="54">
        <v>0</v>
      </c>
      <c r="T228" s="54">
        <f t="shared" si="60"/>
        <v>-1014.6</v>
      </c>
      <c r="U228" s="54">
        <f t="shared" si="75"/>
        <v>-202.92000000000002</v>
      </c>
      <c r="V228" s="54">
        <f t="shared" si="61"/>
        <v>202.92000000000002</v>
      </c>
      <c r="W228" s="54"/>
    </row>
    <row r="229" spans="1:23" ht="26" x14ac:dyDescent="0.6">
      <c r="A229" s="72">
        <v>1542</v>
      </c>
      <c r="B229" s="20"/>
      <c r="C229" s="82" t="s">
        <v>248</v>
      </c>
      <c r="D229" s="18">
        <v>6.32</v>
      </c>
      <c r="E229" s="18">
        <v>1</v>
      </c>
      <c r="F229" s="17">
        <f t="shared" si="73"/>
        <v>6.32</v>
      </c>
      <c r="G229" s="17">
        <f t="shared" si="76"/>
        <v>4.74</v>
      </c>
      <c r="H229" s="17">
        <f t="shared" si="77"/>
        <v>3602.4</v>
      </c>
      <c r="I229" s="21">
        <f t="shared" si="74"/>
        <v>4181.0592000000006</v>
      </c>
      <c r="J229" s="18"/>
      <c r="K229" s="83" t="s">
        <v>237</v>
      </c>
      <c r="L229" s="83"/>
      <c r="M229" s="18"/>
      <c r="N229" s="54" t="s">
        <v>246</v>
      </c>
      <c r="O229" s="54">
        <v>2.58</v>
      </c>
      <c r="P229" s="54">
        <v>1.67</v>
      </c>
      <c r="Q229" s="54" t="s">
        <v>247</v>
      </c>
      <c r="R229" s="71"/>
      <c r="S229" s="54">
        <v>0</v>
      </c>
      <c r="T229" s="54">
        <f t="shared" si="60"/>
        <v>-3602.4</v>
      </c>
      <c r="U229" s="54">
        <f t="shared" si="75"/>
        <v>-720.48</v>
      </c>
      <c r="V229" s="54">
        <f t="shared" si="61"/>
        <v>720.48</v>
      </c>
      <c r="W229" s="54"/>
    </row>
    <row r="230" spans="1:23" ht="26" x14ac:dyDescent="0.6">
      <c r="A230" s="72">
        <v>1543</v>
      </c>
      <c r="B230" s="20"/>
      <c r="C230" s="82" t="s">
        <v>249</v>
      </c>
      <c r="D230" s="18">
        <v>14.06</v>
      </c>
      <c r="E230" s="18">
        <v>1</v>
      </c>
      <c r="F230" s="17">
        <f t="shared" si="73"/>
        <v>14.06</v>
      </c>
      <c r="G230" s="17">
        <f t="shared" si="76"/>
        <v>10.545</v>
      </c>
      <c r="H230" s="17">
        <f t="shared" si="77"/>
        <v>8014.2000000000007</v>
      </c>
      <c r="I230" s="21">
        <f t="shared" si="74"/>
        <v>9301.5336000000007</v>
      </c>
      <c r="J230" s="18"/>
      <c r="K230" s="83" t="s">
        <v>237</v>
      </c>
      <c r="L230" s="83"/>
      <c r="M230" s="18"/>
      <c r="N230" s="54" t="s">
        <v>230</v>
      </c>
      <c r="O230" s="54"/>
      <c r="P230" s="54">
        <v>2.2200000000000002</v>
      </c>
      <c r="Q230" s="54"/>
      <c r="R230" s="71"/>
      <c r="S230" s="54">
        <v>0</v>
      </c>
      <c r="T230" s="54">
        <f t="shared" si="60"/>
        <v>-8014.2000000000007</v>
      </c>
      <c r="U230" s="54">
        <f t="shared" si="75"/>
        <v>-1602.8400000000001</v>
      </c>
      <c r="V230" s="54">
        <f t="shared" si="61"/>
        <v>1602.8400000000001</v>
      </c>
      <c r="W230" s="54"/>
    </row>
    <row r="231" spans="1:23" ht="26" x14ac:dyDescent="0.6">
      <c r="A231" s="72">
        <v>1544</v>
      </c>
      <c r="B231" s="20"/>
      <c r="C231" s="82" t="s">
        <v>232</v>
      </c>
      <c r="D231" s="18">
        <v>2.92</v>
      </c>
      <c r="E231" s="18">
        <v>1</v>
      </c>
      <c r="F231" s="17">
        <f t="shared" si="73"/>
        <v>2.92</v>
      </c>
      <c r="G231" s="17">
        <f t="shared" si="76"/>
        <v>2.19</v>
      </c>
      <c r="H231" s="17">
        <f t="shared" si="77"/>
        <v>1664.3999999999999</v>
      </c>
      <c r="I231" s="21">
        <f t="shared" si="74"/>
        <v>1931.7552000000001</v>
      </c>
      <c r="J231" s="18"/>
      <c r="K231" s="83" t="s">
        <v>237</v>
      </c>
      <c r="L231" s="83"/>
      <c r="M231" s="18"/>
      <c r="N231" s="54" t="s">
        <v>233</v>
      </c>
      <c r="O231" s="54">
        <v>1.4</v>
      </c>
      <c r="P231" s="54">
        <v>0.72</v>
      </c>
      <c r="Q231" s="54" t="s">
        <v>234</v>
      </c>
      <c r="R231" s="71"/>
      <c r="S231" s="54">
        <v>0</v>
      </c>
      <c r="T231" s="54">
        <f t="shared" si="60"/>
        <v>-1664.3999999999999</v>
      </c>
      <c r="U231" s="54">
        <f t="shared" si="75"/>
        <v>-332.88</v>
      </c>
      <c r="V231" s="54">
        <f t="shared" si="61"/>
        <v>332.88</v>
      </c>
      <c r="W231" s="54"/>
    </row>
    <row r="232" spans="1:23" ht="26" x14ac:dyDescent="0.6">
      <c r="A232" s="72">
        <v>1545</v>
      </c>
      <c r="B232" s="20"/>
      <c r="C232" s="82" t="s">
        <v>250</v>
      </c>
      <c r="D232" s="18">
        <v>6.29</v>
      </c>
      <c r="E232" s="18">
        <v>1</v>
      </c>
      <c r="F232" s="17">
        <f t="shared" si="73"/>
        <v>6.29</v>
      </c>
      <c r="G232" s="17">
        <f t="shared" ref="G232:G237" si="78">+D232*0.585</f>
        <v>3.6796499999999996</v>
      </c>
      <c r="H232" s="17">
        <f t="shared" ref="H232:H237" si="79">+D232*420</f>
        <v>2641.8</v>
      </c>
      <c r="I232" s="21">
        <f t="shared" si="74"/>
        <v>3245.745672</v>
      </c>
      <c r="J232" s="18"/>
      <c r="K232" s="83" t="s">
        <v>237</v>
      </c>
      <c r="L232" s="83"/>
      <c r="M232" s="18"/>
      <c r="N232" s="54" t="s">
        <v>251</v>
      </c>
      <c r="O232" s="54">
        <v>3.08</v>
      </c>
      <c r="P232" s="54">
        <v>2.92</v>
      </c>
      <c r="Q232" s="54" t="s">
        <v>82</v>
      </c>
      <c r="R232" s="71"/>
      <c r="S232" s="54">
        <v>0</v>
      </c>
      <c r="T232" s="54">
        <f t="shared" si="60"/>
        <v>-2641.8</v>
      </c>
      <c r="U232" s="54">
        <f t="shared" si="75"/>
        <v>-528.36</v>
      </c>
      <c r="V232" s="54">
        <f t="shared" si="61"/>
        <v>528.36</v>
      </c>
      <c r="W232" s="54"/>
    </row>
    <row r="233" spans="1:23" ht="26" x14ac:dyDescent="0.6">
      <c r="A233" s="72">
        <v>1546</v>
      </c>
      <c r="B233" s="20"/>
      <c r="C233" s="82" t="s">
        <v>136</v>
      </c>
      <c r="D233" s="18">
        <v>18.38</v>
      </c>
      <c r="E233" s="18">
        <v>1</v>
      </c>
      <c r="F233" s="17">
        <f t="shared" si="73"/>
        <v>18.38</v>
      </c>
      <c r="G233" s="17">
        <f t="shared" si="78"/>
        <v>10.752299999999998</v>
      </c>
      <c r="H233" s="17">
        <f t="shared" si="79"/>
        <v>7719.5999999999995</v>
      </c>
      <c r="I233" s="21">
        <f t="shared" si="74"/>
        <v>9484.3887839999989</v>
      </c>
      <c r="J233" s="18"/>
      <c r="K233" s="83" t="s">
        <v>237</v>
      </c>
      <c r="L233" s="83"/>
      <c r="M233" s="18"/>
      <c r="N233" s="54" t="s">
        <v>251</v>
      </c>
      <c r="O233" s="54">
        <v>4.6500000000000004</v>
      </c>
      <c r="P233" s="54">
        <v>1.66</v>
      </c>
      <c r="Q233" s="54" t="s">
        <v>252</v>
      </c>
      <c r="R233" s="71"/>
      <c r="S233" s="54">
        <v>0</v>
      </c>
      <c r="T233" s="54">
        <f t="shared" si="60"/>
        <v>-7719.5999999999995</v>
      </c>
      <c r="U233" s="54">
        <f t="shared" si="75"/>
        <v>-1543.92</v>
      </c>
      <c r="V233" s="54">
        <f t="shared" si="61"/>
        <v>1543.92</v>
      </c>
      <c r="W233" s="54"/>
    </row>
    <row r="234" spans="1:23" ht="26" x14ac:dyDescent="0.6">
      <c r="A234" s="72">
        <v>1547</v>
      </c>
      <c r="B234" s="20"/>
      <c r="C234" s="82" t="s">
        <v>253</v>
      </c>
      <c r="D234" s="18">
        <v>19.89</v>
      </c>
      <c r="E234" s="18">
        <v>1</v>
      </c>
      <c r="F234" s="17">
        <f t="shared" si="73"/>
        <v>19.89</v>
      </c>
      <c r="G234" s="17">
        <f t="shared" si="78"/>
        <v>11.63565</v>
      </c>
      <c r="H234" s="17">
        <f t="shared" si="79"/>
        <v>8353.8000000000011</v>
      </c>
      <c r="I234" s="21">
        <f t="shared" si="74"/>
        <v>10263.574152000001</v>
      </c>
      <c r="J234" s="18"/>
      <c r="K234" s="83" t="s">
        <v>237</v>
      </c>
      <c r="L234" s="83"/>
      <c r="M234" s="18"/>
      <c r="N234" s="54" t="s">
        <v>255</v>
      </c>
      <c r="O234" s="54">
        <v>10.1</v>
      </c>
      <c r="P234" s="54">
        <v>3.22</v>
      </c>
      <c r="Q234" s="54" t="s">
        <v>254</v>
      </c>
      <c r="R234" s="71"/>
      <c r="S234" s="54">
        <v>0</v>
      </c>
      <c r="T234" s="54">
        <f t="shared" si="60"/>
        <v>-8353.8000000000011</v>
      </c>
      <c r="U234" s="54">
        <f t="shared" si="75"/>
        <v>-1670.7600000000002</v>
      </c>
      <c r="V234" s="54">
        <f t="shared" si="61"/>
        <v>1670.7600000000002</v>
      </c>
      <c r="W234" s="54"/>
    </row>
    <row r="235" spans="1:23" ht="26" x14ac:dyDescent="0.6">
      <c r="A235" s="72">
        <v>1548</v>
      </c>
      <c r="B235" s="20"/>
      <c r="C235" s="82" t="s">
        <v>256</v>
      </c>
      <c r="D235" s="18">
        <v>7.02</v>
      </c>
      <c r="E235" s="18">
        <v>1</v>
      </c>
      <c r="F235" s="17">
        <f t="shared" si="73"/>
        <v>7.02</v>
      </c>
      <c r="G235" s="17">
        <f t="shared" si="78"/>
        <v>4.1066999999999991</v>
      </c>
      <c r="H235" s="17">
        <f t="shared" si="79"/>
        <v>2948.3999999999996</v>
      </c>
      <c r="I235" s="21">
        <f t="shared" si="74"/>
        <v>3622.4379359999994</v>
      </c>
      <c r="J235" s="18"/>
      <c r="K235" s="83" t="s">
        <v>237</v>
      </c>
      <c r="L235" s="83"/>
      <c r="M235" s="18"/>
      <c r="N235" s="54">
        <v>2.6</v>
      </c>
      <c r="O235" s="54">
        <v>11.85</v>
      </c>
      <c r="P235" s="54">
        <v>5.35</v>
      </c>
      <c r="Q235" s="54" t="s">
        <v>257</v>
      </c>
      <c r="R235" s="71"/>
      <c r="S235" s="54">
        <v>0</v>
      </c>
      <c r="T235" s="54">
        <f t="shared" si="60"/>
        <v>-2948.3999999999996</v>
      </c>
      <c r="U235" s="54">
        <f t="shared" si="75"/>
        <v>-589.67999999999995</v>
      </c>
      <c r="V235" s="54">
        <f t="shared" si="61"/>
        <v>589.67999999999995</v>
      </c>
      <c r="W235" s="54"/>
    </row>
    <row r="236" spans="1:23" ht="26" x14ac:dyDescent="0.6">
      <c r="A236" s="72">
        <v>1549</v>
      </c>
      <c r="B236" s="20"/>
      <c r="C236" s="82" t="s">
        <v>258</v>
      </c>
      <c r="D236" s="18">
        <v>10.16</v>
      </c>
      <c r="E236" s="18">
        <v>1</v>
      </c>
      <c r="F236" s="17">
        <f t="shared" si="73"/>
        <v>10.16</v>
      </c>
      <c r="G236" s="17">
        <f t="shared" si="78"/>
        <v>5.9436</v>
      </c>
      <c r="H236" s="17">
        <f t="shared" si="79"/>
        <v>4267.2</v>
      </c>
      <c r="I236" s="21">
        <f t="shared" si="74"/>
        <v>5242.7306880000006</v>
      </c>
      <c r="J236" s="18"/>
      <c r="K236" s="83" t="s">
        <v>237</v>
      </c>
      <c r="L236" s="83"/>
      <c r="M236" s="18"/>
      <c r="N236" s="54" t="s">
        <v>246</v>
      </c>
      <c r="O236" s="54"/>
      <c r="P236" s="54">
        <v>6.72</v>
      </c>
      <c r="Q236" s="54" t="s">
        <v>259</v>
      </c>
      <c r="R236" s="71"/>
      <c r="S236" s="54">
        <v>0</v>
      </c>
      <c r="T236" s="54">
        <f t="shared" si="60"/>
        <v>-4267.2</v>
      </c>
      <c r="U236" s="54">
        <f t="shared" si="75"/>
        <v>-853.44</v>
      </c>
      <c r="V236" s="54">
        <f t="shared" si="61"/>
        <v>853.44</v>
      </c>
      <c r="W236" s="54"/>
    </row>
    <row r="237" spans="1:23" ht="26" x14ac:dyDescent="0.6">
      <c r="A237" s="72">
        <v>1550</v>
      </c>
      <c r="B237" s="20"/>
      <c r="C237" s="82" t="s">
        <v>260</v>
      </c>
      <c r="D237" s="18">
        <v>4.68</v>
      </c>
      <c r="E237" s="18">
        <v>1</v>
      </c>
      <c r="F237" s="17">
        <f t="shared" ref="F237:F240" si="80">+D237</f>
        <v>4.68</v>
      </c>
      <c r="G237" s="17">
        <f t="shared" si="78"/>
        <v>2.7377999999999996</v>
      </c>
      <c r="H237" s="17">
        <f t="shared" si="79"/>
        <v>1965.6</v>
      </c>
      <c r="I237" s="21">
        <f t="shared" ref="I237:I240" si="81">+$K$4*G237</f>
        <v>2414.9586239999999</v>
      </c>
      <c r="J237" s="18"/>
      <c r="K237" s="83" t="s">
        <v>237</v>
      </c>
      <c r="L237" s="83"/>
      <c r="M237" s="18"/>
      <c r="N237" s="54" t="s">
        <v>261</v>
      </c>
      <c r="O237" s="54"/>
      <c r="P237" s="54">
        <v>7.1</v>
      </c>
      <c r="Q237" s="54" t="s">
        <v>82</v>
      </c>
      <c r="R237" s="71"/>
      <c r="S237" s="54">
        <v>0</v>
      </c>
      <c r="T237" s="54">
        <f t="shared" si="60"/>
        <v>-1965.6</v>
      </c>
      <c r="U237" s="54">
        <f t="shared" si="75"/>
        <v>-393.12</v>
      </c>
      <c r="V237" s="54">
        <f t="shared" si="61"/>
        <v>393.12</v>
      </c>
      <c r="W237" s="54"/>
    </row>
    <row r="238" spans="1:23" ht="26" x14ac:dyDescent="0.6">
      <c r="A238" s="72">
        <v>1551</v>
      </c>
      <c r="B238" s="20"/>
      <c r="C238" s="32" t="s">
        <v>125</v>
      </c>
      <c r="D238" s="18">
        <v>40.229999999999997</v>
      </c>
      <c r="E238" s="18">
        <v>1</v>
      </c>
      <c r="F238" s="17">
        <f t="shared" si="80"/>
        <v>40.229999999999997</v>
      </c>
      <c r="G238" s="17">
        <f>+D238*0.75</f>
        <v>30.172499999999999</v>
      </c>
      <c r="H238" s="17">
        <f t="shared" ref="H238:H244" si="82">+D238*450</f>
        <v>18103.5</v>
      </c>
      <c r="I238" s="21">
        <f t="shared" si="81"/>
        <v>26614.558800000003</v>
      </c>
      <c r="J238" s="18"/>
      <c r="K238" s="18"/>
      <c r="L238" s="18"/>
      <c r="M238" s="18"/>
      <c r="N238" s="54">
        <v>18.8</v>
      </c>
      <c r="O238" s="54">
        <v>16.54</v>
      </c>
      <c r="P238" s="54">
        <v>2.25</v>
      </c>
      <c r="Q238" s="54" t="s">
        <v>132</v>
      </c>
      <c r="R238" s="71"/>
      <c r="S238" s="54">
        <v>0</v>
      </c>
      <c r="T238" s="54">
        <f t="shared" ref="T238:T251" si="83">+S238-H238</f>
        <v>-18103.5</v>
      </c>
      <c r="U238" s="54">
        <f t="shared" si="75"/>
        <v>-3620.7000000000003</v>
      </c>
      <c r="V238" s="54">
        <f t="shared" ref="V238:V251" si="84">+S238-U238</f>
        <v>3620.7000000000003</v>
      </c>
      <c r="W238" s="54"/>
    </row>
    <row r="239" spans="1:23" ht="26" x14ac:dyDescent="0.6">
      <c r="A239" s="72">
        <v>1552</v>
      </c>
      <c r="B239" s="20"/>
      <c r="C239" s="32" t="s">
        <v>119</v>
      </c>
      <c r="D239" s="18">
        <v>46.63</v>
      </c>
      <c r="E239" s="18">
        <v>1</v>
      </c>
      <c r="F239" s="17">
        <f t="shared" si="80"/>
        <v>46.63</v>
      </c>
      <c r="G239" s="17">
        <f>+D239*0.75</f>
        <v>34.972500000000004</v>
      </c>
      <c r="H239" s="17">
        <f t="shared" si="82"/>
        <v>20983.5</v>
      </c>
      <c r="I239" s="21">
        <f t="shared" si="81"/>
        <v>30848.542800000003</v>
      </c>
      <c r="J239" s="18"/>
      <c r="K239" s="18"/>
      <c r="L239" s="18"/>
      <c r="M239" s="18"/>
      <c r="N239" s="54">
        <v>18.399999999999999</v>
      </c>
      <c r="O239" s="54">
        <v>17.309999999999999</v>
      </c>
      <c r="P239" s="54">
        <v>1.58</v>
      </c>
      <c r="Q239" s="54" t="s">
        <v>138</v>
      </c>
      <c r="R239" s="71"/>
      <c r="S239" s="54">
        <v>0</v>
      </c>
      <c r="T239" s="54">
        <f t="shared" si="83"/>
        <v>-20983.5</v>
      </c>
      <c r="U239" s="54">
        <f t="shared" si="75"/>
        <v>-4196.7</v>
      </c>
      <c r="V239" s="54">
        <f t="shared" si="84"/>
        <v>4196.7</v>
      </c>
      <c r="W239" s="54"/>
    </row>
    <row r="240" spans="1:23" ht="26" x14ac:dyDescent="0.6">
      <c r="A240" s="72">
        <v>1553</v>
      </c>
      <c r="B240" s="20"/>
      <c r="C240" s="32" t="s">
        <v>121</v>
      </c>
      <c r="D240" s="18">
        <v>16.02</v>
      </c>
      <c r="E240" s="18">
        <v>1</v>
      </c>
      <c r="F240" s="17">
        <f t="shared" si="80"/>
        <v>16.02</v>
      </c>
      <c r="G240" s="17">
        <f>+D240*0.75</f>
        <v>12.015000000000001</v>
      </c>
      <c r="H240" s="17">
        <f t="shared" si="82"/>
        <v>7209</v>
      </c>
      <c r="I240" s="21">
        <f t="shared" si="81"/>
        <v>10598.191200000001</v>
      </c>
      <c r="J240" s="18"/>
      <c r="K240" s="18"/>
      <c r="L240" s="18"/>
      <c r="M240" s="18"/>
      <c r="N240" s="54">
        <v>65.7</v>
      </c>
      <c r="O240" s="54">
        <v>6.18</v>
      </c>
      <c r="P240" s="54">
        <v>2.67</v>
      </c>
      <c r="Q240" s="54" t="s">
        <v>116</v>
      </c>
      <c r="R240" s="71"/>
      <c r="S240" s="54">
        <v>0</v>
      </c>
      <c r="T240" s="54">
        <f t="shared" si="83"/>
        <v>-7209</v>
      </c>
      <c r="U240" s="54">
        <f t="shared" si="75"/>
        <v>-1441.8000000000002</v>
      </c>
      <c r="V240" s="54">
        <f t="shared" si="84"/>
        <v>1441.8000000000002</v>
      </c>
      <c r="W240" s="54"/>
    </row>
    <row r="241" spans="1:24" ht="26" x14ac:dyDescent="0.6">
      <c r="A241" s="72">
        <v>1554</v>
      </c>
      <c r="B241" s="20"/>
      <c r="C241" s="32" t="s">
        <v>174</v>
      </c>
      <c r="D241" s="18">
        <v>31.35</v>
      </c>
      <c r="E241" s="18">
        <v>1</v>
      </c>
      <c r="F241" s="17">
        <f t="shared" ref="F241" si="85">+D241</f>
        <v>31.35</v>
      </c>
      <c r="G241" s="17">
        <f>+D241*0.75</f>
        <v>23.512500000000003</v>
      </c>
      <c r="H241" s="17">
        <f t="shared" si="82"/>
        <v>14107.5</v>
      </c>
      <c r="I241" s="21">
        <f t="shared" ref="I241" si="86">+$K$4*G241</f>
        <v>20739.906000000003</v>
      </c>
      <c r="J241" s="18"/>
      <c r="K241" s="18"/>
      <c r="L241" s="18"/>
      <c r="M241" s="18"/>
      <c r="N241" s="54">
        <v>20.399999999999999</v>
      </c>
      <c r="O241" s="54">
        <v>8.07</v>
      </c>
      <c r="P241" s="54">
        <v>2.16</v>
      </c>
      <c r="Q241" s="54" t="s">
        <v>269</v>
      </c>
      <c r="R241" s="71"/>
      <c r="S241" s="54">
        <v>0</v>
      </c>
      <c r="T241" s="54">
        <f t="shared" si="83"/>
        <v>-14107.5</v>
      </c>
      <c r="U241" s="54">
        <f t="shared" si="75"/>
        <v>-2821.5</v>
      </c>
      <c r="V241" s="54">
        <f t="shared" si="84"/>
        <v>2821.5</v>
      </c>
      <c r="W241" s="54"/>
    </row>
    <row r="242" spans="1:24" ht="26" x14ac:dyDescent="0.6">
      <c r="A242" s="72">
        <v>1555</v>
      </c>
      <c r="B242" s="20"/>
      <c r="C242" s="32" t="s">
        <v>125</v>
      </c>
      <c r="D242" s="18">
        <v>21.42</v>
      </c>
      <c r="E242" s="18">
        <v>1</v>
      </c>
      <c r="F242" s="17">
        <f t="shared" si="73"/>
        <v>21.42</v>
      </c>
      <c r="G242" s="17">
        <f t="shared" ref="G242:G248" si="87">+D242*0.585</f>
        <v>12.5307</v>
      </c>
      <c r="H242" s="17">
        <f t="shared" si="82"/>
        <v>9639</v>
      </c>
      <c r="I242" s="21">
        <f t="shared" si="74"/>
        <v>11053.079856</v>
      </c>
      <c r="J242" s="18"/>
      <c r="K242" s="18"/>
      <c r="L242" s="18"/>
      <c r="M242" s="18"/>
      <c r="N242" s="54">
        <v>18.5</v>
      </c>
      <c r="O242" s="54">
        <v>9.24</v>
      </c>
      <c r="P242" s="54">
        <v>2.17</v>
      </c>
      <c r="Q242" s="54" t="s">
        <v>135</v>
      </c>
      <c r="R242" s="71"/>
      <c r="S242" s="54">
        <v>0</v>
      </c>
      <c r="T242" s="54">
        <f t="shared" si="83"/>
        <v>-9639</v>
      </c>
      <c r="U242" s="54">
        <f t="shared" si="75"/>
        <v>-1927.8000000000002</v>
      </c>
      <c r="V242" s="54">
        <f t="shared" si="84"/>
        <v>1927.8000000000002</v>
      </c>
      <c r="W242" s="54"/>
    </row>
    <row r="243" spans="1:24" ht="26" x14ac:dyDescent="0.6">
      <c r="A243" s="72">
        <v>1556</v>
      </c>
      <c r="B243" s="20"/>
      <c r="C243" s="32" t="s">
        <v>133</v>
      </c>
      <c r="D243" s="18">
        <v>19.55</v>
      </c>
      <c r="E243" s="18">
        <v>1</v>
      </c>
      <c r="F243" s="17">
        <f t="shared" si="73"/>
        <v>19.55</v>
      </c>
      <c r="G243" s="17">
        <f t="shared" si="87"/>
        <v>11.43675</v>
      </c>
      <c r="H243" s="17">
        <f t="shared" si="82"/>
        <v>8797.5</v>
      </c>
      <c r="I243" s="21">
        <f t="shared" si="74"/>
        <v>10088.12844</v>
      </c>
      <c r="J243" s="18"/>
      <c r="K243" s="18"/>
      <c r="L243" s="18"/>
      <c r="M243" s="18"/>
      <c r="N243" s="54">
        <v>4.9000000000000004</v>
      </c>
      <c r="O243" s="88" t="s">
        <v>271</v>
      </c>
      <c r="P243" s="54">
        <v>2.16</v>
      </c>
      <c r="Q243" s="54" t="s">
        <v>270</v>
      </c>
      <c r="R243" s="71"/>
      <c r="S243" s="54">
        <v>0</v>
      </c>
      <c r="T243" s="54">
        <f t="shared" si="83"/>
        <v>-8797.5</v>
      </c>
      <c r="U243" s="54">
        <f t="shared" si="75"/>
        <v>-1759.5</v>
      </c>
      <c r="V243" s="54">
        <f t="shared" si="84"/>
        <v>1759.5</v>
      </c>
      <c r="W243" s="54"/>
    </row>
    <row r="244" spans="1:24" ht="26" x14ac:dyDescent="0.6">
      <c r="A244" s="72">
        <v>1557</v>
      </c>
      <c r="B244" s="20"/>
      <c r="C244" s="32" t="s">
        <v>272</v>
      </c>
      <c r="D244" s="18">
        <v>6.74</v>
      </c>
      <c r="E244" s="18">
        <v>1</v>
      </c>
      <c r="F244" s="17">
        <f t="shared" si="73"/>
        <v>6.74</v>
      </c>
      <c r="G244" s="17">
        <f t="shared" si="87"/>
        <v>3.9428999999999998</v>
      </c>
      <c r="H244" s="17">
        <f t="shared" si="82"/>
        <v>3033</v>
      </c>
      <c r="I244" s="21">
        <f t="shared" si="74"/>
        <v>3477.9532319999998</v>
      </c>
      <c r="J244" s="18"/>
      <c r="K244" s="18"/>
      <c r="L244" s="18"/>
      <c r="M244" s="18"/>
      <c r="N244" s="54">
        <v>4.4000000000000004</v>
      </c>
      <c r="O244" s="54">
        <v>18.21</v>
      </c>
      <c r="P244" s="54">
        <v>1.65</v>
      </c>
      <c r="Q244" s="54" t="s">
        <v>273</v>
      </c>
      <c r="R244" s="71"/>
      <c r="S244" s="54">
        <v>0</v>
      </c>
      <c r="T244" s="54">
        <f t="shared" si="83"/>
        <v>-3033</v>
      </c>
      <c r="U244" s="54">
        <f t="shared" si="75"/>
        <v>-606.6</v>
      </c>
      <c r="V244" s="54">
        <f t="shared" si="84"/>
        <v>606.6</v>
      </c>
      <c r="W244" s="54"/>
    </row>
    <row r="245" spans="1:24" ht="26" x14ac:dyDescent="0.6">
      <c r="A245" s="72">
        <v>1558</v>
      </c>
      <c r="B245" s="20"/>
      <c r="C245" s="32"/>
      <c r="D245" s="18"/>
      <c r="E245" s="18">
        <v>1</v>
      </c>
      <c r="F245" s="17">
        <f t="shared" si="73"/>
        <v>0</v>
      </c>
      <c r="G245" s="17">
        <f t="shared" si="87"/>
        <v>0</v>
      </c>
      <c r="H245" s="17">
        <f t="shared" ref="H245:H248" si="88">+D245*380</f>
        <v>0</v>
      </c>
      <c r="I245" s="21">
        <f t="shared" si="74"/>
        <v>0</v>
      </c>
      <c r="J245" s="18"/>
      <c r="K245" s="18"/>
      <c r="L245" s="18"/>
      <c r="M245" s="18"/>
      <c r="N245" s="54"/>
      <c r="O245" s="54"/>
      <c r="P245" s="54"/>
      <c r="Q245" s="54"/>
      <c r="R245" s="71"/>
      <c r="S245" s="54">
        <v>0</v>
      </c>
      <c r="T245" s="54">
        <f t="shared" si="83"/>
        <v>0</v>
      </c>
      <c r="U245" s="54">
        <f t="shared" si="75"/>
        <v>0</v>
      </c>
      <c r="V245" s="54">
        <f t="shared" si="84"/>
        <v>0</v>
      </c>
      <c r="W245" s="54"/>
    </row>
    <row r="246" spans="1:24" ht="26" x14ac:dyDescent="0.6">
      <c r="A246" s="72">
        <v>1559</v>
      </c>
      <c r="B246" s="20"/>
      <c r="C246" s="32"/>
      <c r="D246" s="18"/>
      <c r="E246" s="18">
        <v>1</v>
      </c>
      <c r="F246" s="17">
        <f t="shared" si="73"/>
        <v>0</v>
      </c>
      <c r="G246" s="17">
        <f t="shared" si="87"/>
        <v>0</v>
      </c>
      <c r="H246" s="17">
        <f t="shared" si="88"/>
        <v>0</v>
      </c>
      <c r="I246" s="21">
        <f t="shared" si="74"/>
        <v>0</v>
      </c>
      <c r="J246" s="18"/>
      <c r="K246" s="18"/>
      <c r="L246" s="18"/>
      <c r="M246" s="18"/>
      <c r="N246" s="54"/>
      <c r="O246" s="54"/>
      <c r="P246" s="54"/>
      <c r="Q246" s="54"/>
      <c r="R246" s="71"/>
      <c r="S246" s="54">
        <v>0</v>
      </c>
      <c r="T246" s="54">
        <f t="shared" si="83"/>
        <v>0</v>
      </c>
      <c r="U246" s="54">
        <f t="shared" si="75"/>
        <v>0</v>
      </c>
      <c r="V246" s="54">
        <f t="shared" si="84"/>
        <v>0</v>
      </c>
      <c r="W246" s="54"/>
    </row>
    <row r="247" spans="1:24" ht="26" x14ac:dyDescent="0.6">
      <c r="A247" s="72">
        <v>1560</v>
      </c>
      <c r="B247" s="20"/>
      <c r="C247" s="32"/>
      <c r="D247" s="18"/>
      <c r="E247" s="18">
        <v>1</v>
      </c>
      <c r="F247" s="17">
        <f t="shared" si="73"/>
        <v>0</v>
      </c>
      <c r="G247" s="17">
        <f t="shared" si="87"/>
        <v>0</v>
      </c>
      <c r="H247" s="17">
        <f t="shared" si="88"/>
        <v>0</v>
      </c>
      <c r="I247" s="21">
        <f t="shared" si="74"/>
        <v>0</v>
      </c>
      <c r="J247" s="18"/>
      <c r="K247" s="18"/>
      <c r="L247" s="18"/>
      <c r="M247" s="18"/>
      <c r="N247" s="54"/>
      <c r="O247" s="54"/>
      <c r="P247" s="54"/>
      <c r="Q247" s="54"/>
      <c r="R247" s="71"/>
      <c r="S247" s="54">
        <v>0</v>
      </c>
      <c r="T247" s="54">
        <f t="shared" si="83"/>
        <v>0</v>
      </c>
      <c r="U247" s="54">
        <f t="shared" si="75"/>
        <v>0</v>
      </c>
      <c r="V247" s="54">
        <f t="shared" si="84"/>
        <v>0</v>
      </c>
      <c r="W247" s="54"/>
    </row>
    <row r="248" spans="1:24" ht="26" x14ac:dyDescent="0.6">
      <c r="A248" s="72">
        <v>1561</v>
      </c>
      <c r="B248" s="20"/>
      <c r="C248" s="32"/>
      <c r="D248" s="18"/>
      <c r="E248" s="18">
        <v>1</v>
      </c>
      <c r="F248" s="17">
        <f t="shared" si="73"/>
        <v>0</v>
      </c>
      <c r="G248" s="17">
        <f t="shared" si="87"/>
        <v>0</v>
      </c>
      <c r="H248" s="17">
        <f t="shared" si="88"/>
        <v>0</v>
      </c>
      <c r="I248" s="21">
        <f t="shared" si="74"/>
        <v>0</v>
      </c>
      <c r="J248" s="18"/>
      <c r="K248" s="18"/>
      <c r="L248" s="18"/>
      <c r="M248" s="18"/>
      <c r="N248" s="54"/>
      <c r="O248" s="54"/>
      <c r="P248" s="54"/>
      <c r="Q248" s="54"/>
      <c r="R248" s="71"/>
      <c r="S248" s="54">
        <v>0</v>
      </c>
      <c r="T248" s="54">
        <f t="shared" si="83"/>
        <v>0</v>
      </c>
      <c r="U248" s="54">
        <f t="shared" si="75"/>
        <v>0</v>
      </c>
      <c r="V248" s="54">
        <f t="shared" si="84"/>
        <v>0</v>
      </c>
      <c r="W248" s="54"/>
    </row>
    <row r="249" spans="1:24" ht="26" x14ac:dyDescent="0.6">
      <c r="A249" s="72"/>
      <c r="B249" s="20"/>
      <c r="C249" s="32"/>
      <c r="D249" s="18"/>
      <c r="E249" s="18"/>
      <c r="F249" s="17"/>
      <c r="G249" s="17"/>
      <c r="H249" s="17"/>
      <c r="I249" s="21"/>
      <c r="J249" s="18"/>
      <c r="K249" s="18"/>
      <c r="L249" s="18"/>
      <c r="M249" s="18"/>
      <c r="N249" s="54"/>
      <c r="O249" s="54"/>
      <c r="P249" s="54"/>
      <c r="Q249" s="54"/>
      <c r="R249" s="71"/>
      <c r="S249" s="54">
        <v>0</v>
      </c>
      <c r="T249" s="54">
        <f t="shared" si="83"/>
        <v>0</v>
      </c>
      <c r="U249" s="54">
        <f t="shared" si="75"/>
        <v>0</v>
      </c>
      <c r="V249" s="54">
        <f t="shared" si="84"/>
        <v>0</v>
      </c>
      <c r="W249" s="54"/>
    </row>
    <row r="250" spans="1:24" ht="26" x14ac:dyDescent="0.6">
      <c r="A250" s="72"/>
      <c r="B250" s="20"/>
      <c r="C250" s="32"/>
      <c r="D250" s="18"/>
      <c r="E250" s="18"/>
      <c r="F250" s="17"/>
      <c r="G250" s="17"/>
      <c r="H250" s="17"/>
      <c r="I250" s="21"/>
      <c r="J250" s="18"/>
      <c r="K250" s="18"/>
      <c r="L250" s="18"/>
      <c r="M250" s="18"/>
      <c r="N250" s="54"/>
      <c r="O250" s="54"/>
      <c r="P250" s="54"/>
      <c r="Q250" s="54"/>
      <c r="R250" s="71"/>
      <c r="S250" s="54">
        <v>0</v>
      </c>
      <c r="T250" s="54">
        <f t="shared" si="83"/>
        <v>0</v>
      </c>
      <c r="U250" s="54">
        <f t="shared" si="75"/>
        <v>0</v>
      </c>
      <c r="V250" s="54">
        <f t="shared" si="84"/>
        <v>0</v>
      </c>
      <c r="W250" s="54"/>
    </row>
    <row r="251" spans="1:24" ht="26" x14ac:dyDescent="0.6">
      <c r="A251" s="72"/>
      <c r="B251" s="20"/>
      <c r="C251" s="32"/>
      <c r="D251" s="18"/>
      <c r="E251" s="18"/>
      <c r="F251" s="17"/>
      <c r="G251" s="17"/>
      <c r="H251" s="17"/>
      <c r="I251" s="21"/>
      <c r="J251" s="18"/>
      <c r="K251" s="18"/>
      <c r="L251" s="18"/>
      <c r="M251" s="18"/>
      <c r="N251" s="54"/>
      <c r="O251" s="54"/>
      <c r="P251" s="54"/>
      <c r="Q251" s="54"/>
      <c r="R251" s="71"/>
      <c r="S251" s="54">
        <v>0</v>
      </c>
      <c r="T251" s="54">
        <f t="shared" si="83"/>
        <v>0</v>
      </c>
      <c r="U251" s="54">
        <f t="shared" si="75"/>
        <v>0</v>
      </c>
      <c r="V251" s="54">
        <f t="shared" si="84"/>
        <v>0</v>
      </c>
      <c r="W251" s="54"/>
    </row>
    <row r="252" spans="1:24" ht="26" x14ac:dyDescent="0.6">
      <c r="A252" s="18"/>
      <c r="B252" s="18"/>
      <c r="C252" s="44" t="s">
        <v>3</v>
      </c>
      <c r="D252" s="44"/>
      <c r="E252" s="44"/>
      <c r="F252" s="92">
        <f>SUM(F171:F251)</f>
        <v>1177.68</v>
      </c>
      <c r="G252" s="92">
        <f>SUM(G171:G251)</f>
        <v>752.46523000000036</v>
      </c>
      <c r="H252" s="91">
        <f>SUM(H171:H251)</f>
        <v>481003.21000000008</v>
      </c>
      <c r="I252" s="91">
        <f>SUM(I171:I251)</f>
        <v>663734.53007839993</v>
      </c>
      <c r="J252" s="18"/>
      <c r="K252" s="17"/>
      <c r="L252" s="18"/>
      <c r="M252" s="18"/>
      <c r="N252" s="54"/>
      <c r="O252" s="54"/>
      <c r="P252" s="54"/>
      <c r="Q252" s="54"/>
    </row>
    <row r="253" spans="1:24" ht="26" x14ac:dyDescent="0.6">
      <c r="A253" s="18"/>
      <c r="B253" s="18"/>
      <c r="C253" s="18"/>
      <c r="D253" s="18"/>
      <c r="E253" s="18"/>
      <c r="F253" s="18"/>
      <c r="G253" s="18"/>
      <c r="H253" s="18"/>
      <c r="I253" s="21"/>
      <c r="J253" s="18"/>
      <c r="K253" s="18"/>
      <c r="L253" s="18"/>
      <c r="M253" s="4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6" spans="1:24" ht="28.5" x14ac:dyDescent="0.65">
      <c r="B256" s="108" t="s">
        <v>5</v>
      </c>
      <c r="C256" s="108"/>
      <c r="D256" s="108"/>
      <c r="E256" s="108"/>
      <c r="K256" s="7" t="e">
        <f>5100/M258</f>
        <v>#DIV/0!</v>
      </c>
      <c r="N256">
        <v>9927.64</v>
      </c>
    </row>
    <row r="258" spans="1:17" ht="26" x14ac:dyDescent="0.6">
      <c r="A258" s="18"/>
      <c r="B258" s="18"/>
      <c r="C258" s="46" t="s">
        <v>0</v>
      </c>
      <c r="D258" s="46" t="s">
        <v>19</v>
      </c>
      <c r="E258" s="46" t="s">
        <v>16</v>
      </c>
      <c r="F258" s="46" t="s">
        <v>1</v>
      </c>
      <c r="G258" s="46" t="s">
        <v>6</v>
      </c>
      <c r="H258" s="46" t="s">
        <v>2</v>
      </c>
      <c r="I258" s="47" t="s">
        <v>7</v>
      </c>
      <c r="J258" s="18"/>
      <c r="K258" s="18"/>
      <c r="N258" s="66"/>
    </row>
    <row r="259" spans="1:17" ht="26" x14ac:dyDescent="0.6">
      <c r="A259" s="18"/>
      <c r="B259" s="72"/>
      <c r="C259" s="18" t="s">
        <v>24</v>
      </c>
      <c r="D259" s="18"/>
      <c r="E259" s="18"/>
      <c r="F259" s="18"/>
      <c r="G259" s="18">
        <f>+F259*0.925</f>
        <v>0</v>
      </c>
      <c r="H259" s="18"/>
      <c r="I259" s="21">
        <f>+G259*K5</f>
        <v>0</v>
      </c>
      <c r="J259" s="18"/>
      <c r="K259" s="18"/>
    </row>
    <row r="260" spans="1:17" ht="26" x14ac:dyDescent="0.6">
      <c r="A260" s="18"/>
      <c r="B260" s="72"/>
      <c r="C260" s="18"/>
      <c r="D260" s="18"/>
      <c r="E260" s="18"/>
      <c r="F260" s="18"/>
      <c r="G260" s="18">
        <f>+F260*0.99999</f>
        <v>0</v>
      </c>
      <c r="H260" s="18">
        <f>3.7*F260</f>
        <v>0</v>
      </c>
      <c r="I260" s="21">
        <f>+G260*K5</f>
        <v>0</v>
      </c>
      <c r="J260" s="18"/>
      <c r="K260" s="18"/>
      <c r="L260" s="18" t="s">
        <v>342</v>
      </c>
      <c r="M260" s="18"/>
      <c r="N260" s="18" t="s">
        <v>343</v>
      </c>
      <c r="O260" s="18"/>
    </row>
    <row r="261" spans="1:17" ht="26" x14ac:dyDescent="0.6">
      <c r="A261" s="18"/>
      <c r="B261" s="72"/>
      <c r="C261" s="18" t="s">
        <v>25</v>
      </c>
      <c r="D261" s="18"/>
      <c r="E261" s="18"/>
      <c r="F261" s="18">
        <v>100</v>
      </c>
      <c r="G261" s="18">
        <f>+F261*0.925</f>
        <v>92.5</v>
      </c>
      <c r="H261" s="18">
        <f>+F261*3.2</f>
        <v>320</v>
      </c>
      <c r="I261" s="21">
        <f t="shared" ref="I261" si="89">+G261*$K$5</f>
        <v>1350.6849999999999</v>
      </c>
      <c r="J261" s="85"/>
      <c r="K261" s="18"/>
      <c r="L261" s="18">
        <v>1</v>
      </c>
      <c r="M261" s="18" t="s">
        <v>262</v>
      </c>
      <c r="N261" s="18">
        <f>7460-120</f>
        <v>7340</v>
      </c>
      <c r="O261" s="18"/>
    </row>
    <row r="262" spans="1:17" ht="26" x14ac:dyDescent="0.6">
      <c r="A262" s="18"/>
      <c r="B262" s="18"/>
      <c r="C262" s="18"/>
      <c r="D262" s="18"/>
      <c r="E262" s="18"/>
      <c r="F262" s="18"/>
      <c r="G262" s="18"/>
      <c r="H262" s="18"/>
      <c r="I262" s="21"/>
      <c r="J262" s="18"/>
      <c r="K262" s="18"/>
      <c r="L262" s="18">
        <v>2</v>
      </c>
      <c r="M262" s="18" t="s">
        <v>262</v>
      </c>
      <c r="N262" s="18">
        <f>3872-200</f>
        <v>3672</v>
      </c>
      <c r="O262" s="18"/>
    </row>
    <row r="263" spans="1:17" ht="26" x14ac:dyDescent="0.6">
      <c r="A263" s="18"/>
      <c r="B263" s="18"/>
      <c r="C263" s="18"/>
      <c r="D263" s="18"/>
      <c r="E263" s="18"/>
      <c r="F263" s="18"/>
      <c r="G263" s="18"/>
      <c r="H263" s="18"/>
      <c r="I263" s="21"/>
      <c r="J263" s="18"/>
      <c r="K263" s="18"/>
      <c r="L263" s="18">
        <v>3</v>
      </c>
      <c r="M263" s="18" t="s">
        <v>262</v>
      </c>
      <c r="N263" s="18">
        <f>12308-400</f>
        <v>11908</v>
      </c>
      <c r="O263" s="18"/>
      <c r="Q263" s="18"/>
    </row>
    <row r="264" spans="1:17" ht="26" x14ac:dyDescent="0.6">
      <c r="L264" s="18">
        <v>4</v>
      </c>
      <c r="M264" s="18" t="s">
        <v>262</v>
      </c>
      <c r="N264" s="18">
        <f>934-150</f>
        <v>784</v>
      </c>
      <c r="O264" s="18"/>
      <c r="Q264" s="18"/>
    </row>
    <row r="265" spans="1:17" ht="28.5" x14ac:dyDescent="0.65">
      <c r="C265" s="107" t="s">
        <v>63</v>
      </c>
      <c r="D265" s="107"/>
      <c r="L265" s="18">
        <v>5</v>
      </c>
      <c r="M265" s="18" t="s">
        <v>262</v>
      </c>
      <c r="N265" s="18">
        <f>3440-150</f>
        <v>3290</v>
      </c>
      <c r="O265" s="18"/>
    </row>
    <row r="266" spans="1:17" ht="26" x14ac:dyDescent="0.6">
      <c r="A266" s="44"/>
      <c r="B266" s="73"/>
      <c r="C266" s="44" t="s">
        <v>64</v>
      </c>
      <c r="D266" s="44">
        <v>100</v>
      </c>
      <c r="E266" s="44">
        <v>2</v>
      </c>
      <c r="F266" s="44">
        <f t="shared" ref="F266:F271" si="90">+E266*D266</f>
        <v>200</v>
      </c>
      <c r="G266" s="44">
        <f t="shared" ref="G266:G271" si="91">+F266*0.999</f>
        <v>199.8</v>
      </c>
      <c r="H266" s="44"/>
      <c r="I266" s="53">
        <f t="shared" ref="I266:I271" si="92">+G266*$K$5</f>
        <v>2917.4796000000001</v>
      </c>
      <c r="J266" s="85"/>
      <c r="K266" s="18"/>
      <c r="L266" s="18">
        <v>6</v>
      </c>
      <c r="M266" s="18" t="s">
        <v>262</v>
      </c>
      <c r="N266" s="18">
        <f>4616-150</f>
        <v>4466</v>
      </c>
      <c r="O266" s="18"/>
    </row>
    <row r="267" spans="1:17" ht="26" x14ac:dyDescent="0.6">
      <c r="A267" s="44"/>
      <c r="B267" s="73"/>
      <c r="C267" s="44" t="s">
        <v>92</v>
      </c>
      <c r="D267" s="44">
        <v>1000</v>
      </c>
      <c r="E267" s="44">
        <v>1</v>
      </c>
      <c r="F267" s="44">
        <f t="shared" si="90"/>
        <v>1000</v>
      </c>
      <c r="G267" s="44">
        <f t="shared" si="91"/>
        <v>999</v>
      </c>
      <c r="H267" s="44"/>
      <c r="I267" s="53">
        <f t="shared" si="92"/>
        <v>14587.398000000001</v>
      </c>
      <c r="J267" s="85"/>
      <c r="K267" s="18"/>
      <c r="L267" s="18">
        <v>7</v>
      </c>
      <c r="M267" s="18" t="s">
        <v>262</v>
      </c>
      <c r="N267" s="18">
        <f>3438-150</f>
        <v>3288</v>
      </c>
      <c r="O267" s="18"/>
    </row>
    <row r="268" spans="1:17" ht="26" x14ac:dyDescent="0.6">
      <c r="A268" s="44"/>
      <c r="B268" s="73"/>
      <c r="C268" s="44" t="s">
        <v>93</v>
      </c>
      <c r="D268" s="44">
        <v>500</v>
      </c>
      <c r="E268" s="44">
        <v>0</v>
      </c>
      <c r="F268" s="44">
        <f t="shared" si="90"/>
        <v>0</v>
      </c>
      <c r="G268" s="44">
        <f t="shared" si="91"/>
        <v>0</v>
      </c>
      <c r="H268" s="44"/>
      <c r="I268" s="53">
        <f t="shared" si="92"/>
        <v>0</v>
      </c>
      <c r="J268" s="85"/>
      <c r="K268" s="18"/>
      <c r="L268" s="18">
        <v>8</v>
      </c>
      <c r="M268" s="18" t="s">
        <v>262</v>
      </c>
      <c r="N268" s="18">
        <f>1422-170</f>
        <v>1252</v>
      </c>
      <c r="O268" s="18"/>
    </row>
    <row r="269" spans="1:17" ht="26" x14ac:dyDescent="0.6">
      <c r="A269" s="44"/>
      <c r="B269" s="73"/>
      <c r="C269" s="44" t="s">
        <v>94</v>
      </c>
      <c r="D269" s="44">
        <v>250</v>
      </c>
      <c r="E269" s="44">
        <v>0</v>
      </c>
      <c r="F269" s="44">
        <f t="shared" si="90"/>
        <v>0</v>
      </c>
      <c r="G269" s="44">
        <f t="shared" si="91"/>
        <v>0</v>
      </c>
      <c r="H269" s="44"/>
      <c r="I269" s="53">
        <f t="shared" si="92"/>
        <v>0</v>
      </c>
      <c r="J269" s="85"/>
      <c r="K269" s="18"/>
      <c r="L269" s="18">
        <v>9</v>
      </c>
      <c r="M269" s="18" t="s">
        <v>262</v>
      </c>
      <c r="N269" s="18">
        <f>5442-300</f>
        <v>5142</v>
      </c>
      <c r="O269" s="18"/>
    </row>
    <row r="270" spans="1:17" ht="26" x14ac:dyDescent="0.6">
      <c r="A270" s="18"/>
      <c r="B270" s="18"/>
      <c r="C270" s="18"/>
      <c r="D270" s="18"/>
      <c r="E270" s="18">
        <v>7</v>
      </c>
      <c r="F270" s="18">
        <f t="shared" si="90"/>
        <v>0</v>
      </c>
      <c r="G270" s="18">
        <f t="shared" si="91"/>
        <v>0</v>
      </c>
      <c r="H270" s="18"/>
      <c r="I270" s="21">
        <f t="shared" si="92"/>
        <v>0</v>
      </c>
      <c r="J270" s="85"/>
      <c r="K270" s="18"/>
      <c r="L270" s="18">
        <v>11</v>
      </c>
      <c r="M270" s="18" t="s">
        <v>262</v>
      </c>
      <c r="N270" s="18"/>
      <c r="O270" s="18"/>
    </row>
    <row r="271" spans="1:17" ht="26" x14ac:dyDescent="0.6">
      <c r="A271" s="61"/>
      <c r="B271" s="73"/>
      <c r="C271" s="61" t="s">
        <v>95</v>
      </c>
      <c r="D271" s="61">
        <v>1000</v>
      </c>
      <c r="E271" s="61"/>
      <c r="F271" s="61">
        <f t="shared" si="90"/>
        <v>0</v>
      </c>
      <c r="G271" s="61">
        <f t="shared" si="91"/>
        <v>0</v>
      </c>
      <c r="H271" s="61"/>
      <c r="I271" s="47">
        <f t="shared" si="92"/>
        <v>0</v>
      </c>
      <c r="J271" s="85"/>
      <c r="K271" s="18"/>
      <c r="L271" s="18">
        <v>12</v>
      </c>
      <c r="M271" s="18" t="s">
        <v>262</v>
      </c>
      <c r="N271" s="18"/>
      <c r="O271" s="18"/>
    </row>
    <row r="272" spans="1:17" ht="26" x14ac:dyDescent="0.6">
      <c r="A272" s="61"/>
      <c r="B272" s="62"/>
      <c r="C272" s="61" t="s">
        <v>96</v>
      </c>
      <c r="D272" s="61">
        <v>500</v>
      </c>
      <c r="E272" s="61"/>
      <c r="F272" s="61">
        <f t="shared" ref="F272:F277" si="93">+E272*D272</f>
        <v>0</v>
      </c>
      <c r="G272" s="61">
        <f t="shared" ref="G272:G287" si="94">+F272*0.999</f>
        <v>0</v>
      </c>
      <c r="H272" s="61"/>
      <c r="I272" s="47">
        <f t="shared" ref="I272:I277" si="95">+G272*$K$5</f>
        <v>0</v>
      </c>
      <c r="J272" s="85"/>
      <c r="K272" s="18"/>
      <c r="L272" s="18">
        <v>13</v>
      </c>
      <c r="M272" s="18" t="s">
        <v>262</v>
      </c>
      <c r="N272" s="18"/>
      <c r="O272" s="18"/>
    </row>
    <row r="273" spans="1:15" ht="26" x14ac:dyDescent="0.6">
      <c r="A273" s="61"/>
      <c r="B273" s="73"/>
      <c r="C273" s="61" t="s">
        <v>97</v>
      </c>
      <c r="D273" s="61">
        <v>250</v>
      </c>
      <c r="E273" s="61"/>
      <c r="F273" s="61">
        <f t="shared" si="93"/>
        <v>0</v>
      </c>
      <c r="G273" s="61">
        <f t="shared" si="94"/>
        <v>0</v>
      </c>
      <c r="H273" s="61"/>
      <c r="I273" s="47">
        <f t="shared" si="95"/>
        <v>0</v>
      </c>
      <c r="J273" s="85"/>
      <c r="K273" s="18"/>
      <c r="L273" s="18"/>
      <c r="M273" s="18"/>
      <c r="N273" s="18"/>
      <c r="O273" s="18"/>
    </row>
    <row r="274" spans="1:15" ht="26" x14ac:dyDescent="0.6">
      <c r="A274" s="61"/>
      <c r="B274" s="73"/>
      <c r="C274" s="61" t="s">
        <v>98</v>
      </c>
      <c r="D274" s="61">
        <v>100</v>
      </c>
      <c r="E274" s="61"/>
      <c r="F274" s="61">
        <f t="shared" si="93"/>
        <v>0</v>
      </c>
      <c r="G274" s="61">
        <f t="shared" si="94"/>
        <v>0</v>
      </c>
      <c r="H274" s="61"/>
      <c r="I274" s="47">
        <f t="shared" si="95"/>
        <v>0</v>
      </c>
      <c r="J274" s="85"/>
      <c r="K274" s="18"/>
      <c r="L274" s="18"/>
      <c r="M274" s="18"/>
      <c r="N274" s="18"/>
      <c r="O274" s="18"/>
    </row>
    <row r="275" spans="1:15" ht="26" x14ac:dyDescent="0.6">
      <c r="A275" s="61"/>
      <c r="B275" s="62"/>
      <c r="C275" s="61" t="s">
        <v>100</v>
      </c>
      <c r="D275" s="61">
        <v>50</v>
      </c>
      <c r="E275" s="61"/>
      <c r="F275" s="61">
        <f t="shared" si="93"/>
        <v>0</v>
      </c>
      <c r="G275" s="61">
        <f t="shared" si="94"/>
        <v>0</v>
      </c>
      <c r="H275" s="61"/>
      <c r="I275" s="47">
        <f t="shared" si="95"/>
        <v>0</v>
      </c>
      <c r="J275" s="85"/>
      <c r="K275" s="18"/>
      <c r="L275" s="18"/>
      <c r="M275" s="103"/>
      <c r="N275" s="103"/>
      <c r="O275" s="18"/>
    </row>
    <row r="276" spans="1:15" ht="26" x14ac:dyDescent="0.6">
      <c r="A276" s="61"/>
      <c r="B276" s="73"/>
      <c r="C276" s="61" t="s">
        <v>99</v>
      </c>
      <c r="D276" s="61">
        <v>31.1</v>
      </c>
      <c r="E276" s="61">
        <v>3</v>
      </c>
      <c r="F276" s="61">
        <f t="shared" si="93"/>
        <v>93.300000000000011</v>
      </c>
      <c r="G276" s="61">
        <f t="shared" si="94"/>
        <v>93.206700000000012</v>
      </c>
      <c r="H276" s="61"/>
      <c r="I276" s="47">
        <f t="shared" si="95"/>
        <v>1361.0042334000002</v>
      </c>
      <c r="J276" s="85"/>
      <c r="K276" s="18"/>
      <c r="L276" s="18"/>
      <c r="M276" s="18"/>
      <c r="N276" s="18">
        <f>SUM(N261:N275)</f>
        <v>41142</v>
      </c>
      <c r="O276" s="18"/>
    </row>
    <row r="277" spans="1:15" ht="26" x14ac:dyDescent="0.6">
      <c r="A277" s="18"/>
      <c r="B277" s="18"/>
      <c r="C277" s="18" t="s">
        <v>268</v>
      </c>
      <c r="D277" s="18">
        <v>1000</v>
      </c>
      <c r="E277" s="18"/>
      <c r="F277" s="18">
        <f t="shared" si="93"/>
        <v>0</v>
      </c>
      <c r="G277" s="18">
        <f t="shared" si="94"/>
        <v>0</v>
      </c>
      <c r="H277" s="18"/>
      <c r="I277" s="21">
        <f t="shared" si="95"/>
        <v>0</v>
      </c>
      <c r="J277" s="85"/>
      <c r="K277" s="18"/>
      <c r="N277" s="18"/>
    </row>
    <row r="278" spans="1:15" ht="26" x14ac:dyDescent="0.6">
      <c r="A278" s="63"/>
      <c r="B278" s="73"/>
      <c r="C278" s="63" t="s">
        <v>101</v>
      </c>
      <c r="D278" s="63">
        <v>1000</v>
      </c>
      <c r="E278" s="63"/>
      <c r="F278" s="63">
        <f t="shared" ref="F278:F286" si="96">+E278*D278</f>
        <v>0</v>
      </c>
      <c r="G278" s="63">
        <f t="shared" si="94"/>
        <v>0</v>
      </c>
      <c r="H278" s="63"/>
      <c r="I278" s="65">
        <f t="shared" ref="I278:I286" si="97">+G278*$K$5</f>
        <v>0</v>
      </c>
      <c r="J278" s="85"/>
      <c r="K278" s="18"/>
    </row>
    <row r="279" spans="1:15" ht="26" x14ac:dyDescent="0.6">
      <c r="A279" s="63"/>
      <c r="B279" s="73"/>
      <c r="C279" s="63" t="s">
        <v>102</v>
      </c>
      <c r="D279" s="63">
        <v>500</v>
      </c>
      <c r="E279" s="63"/>
      <c r="F279" s="63">
        <f t="shared" si="96"/>
        <v>0</v>
      </c>
      <c r="G279" s="63">
        <f t="shared" si="94"/>
        <v>0</v>
      </c>
      <c r="H279" s="63"/>
      <c r="I279" s="65">
        <f t="shared" si="97"/>
        <v>0</v>
      </c>
      <c r="J279" s="85"/>
      <c r="K279" s="18"/>
    </row>
    <row r="280" spans="1:15" ht="26" x14ac:dyDescent="0.6">
      <c r="A280" s="63"/>
      <c r="B280" s="64"/>
      <c r="C280" s="63" t="s">
        <v>103</v>
      </c>
      <c r="D280" s="63">
        <v>250</v>
      </c>
      <c r="E280" s="63"/>
      <c r="F280" s="63">
        <f t="shared" si="96"/>
        <v>0</v>
      </c>
      <c r="G280" s="63">
        <f t="shared" si="94"/>
        <v>0</v>
      </c>
      <c r="H280" s="63"/>
      <c r="I280" s="65">
        <f t="shared" si="97"/>
        <v>0</v>
      </c>
      <c r="J280" s="85"/>
      <c r="K280" s="18"/>
    </row>
    <row r="281" spans="1:15" ht="26" x14ac:dyDescent="0.6">
      <c r="A281" s="63"/>
      <c r="B281" s="73"/>
      <c r="C281" s="63" t="s">
        <v>104</v>
      </c>
      <c r="D281" s="63">
        <v>100</v>
      </c>
      <c r="E281" s="63"/>
      <c r="F281" s="63">
        <f t="shared" si="96"/>
        <v>0</v>
      </c>
      <c r="G281" s="63">
        <f t="shared" si="94"/>
        <v>0</v>
      </c>
      <c r="H281" s="63"/>
      <c r="I281" s="65">
        <f t="shared" si="97"/>
        <v>0</v>
      </c>
      <c r="J281" s="85"/>
      <c r="K281" s="18"/>
    </row>
    <row r="282" spans="1:15" ht="26" x14ac:dyDescent="0.6">
      <c r="A282" s="63"/>
      <c r="B282" s="73"/>
      <c r="C282" s="63" t="s">
        <v>105</v>
      </c>
      <c r="D282" s="63">
        <v>50</v>
      </c>
      <c r="E282" s="63"/>
      <c r="F282" s="63">
        <f t="shared" si="96"/>
        <v>0</v>
      </c>
      <c r="G282" s="63">
        <f t="shared" si="94"/>
        <v>0</v>
      </c>
      <c r="H282" s="63"/>
      <c r="I282" s="65">
        <f t="shared" si="97"/>
        <v>0</v>
      </c>
      <c r="J282" s="85"/>
      <c r="K282" s="18"/>
    </row>
    <row r="283" spans="1:15" ht="26" x14ac:dyDescent="0.6">
      <c r="A283" s="63"/>
      <c r="B283" s="73"/>
      <c r="C283" s="63" t="s">
        <v>106</v>
      </c>
      <c r="D283" s="63">
        <v>31.1</v>
      </c>
      <c r="E283" s="63"/>
      <c r="F283" s="63">
        <f t="shared" si="96"/>
        <v>0</v>
      </c>
      <c r="G283" s="63">
        <f t="shared" si="94"/>
        <v>0</v>
      </c>
      <c r="H283" s="63"/>
      <c r="I283" s="65">
        <f t="shared" si="97"/>
        <v>0</v>
      </c>
      <c r="J283" s="85"/>
      <c r="K283" s="18"/>
    </row>
    <row r="284" spans="1:15" ht="26" x14ac:dyDescent="0.6">
      <c r="A284" s="63"/>
      <c r="B284" s="73"/>
      <c r="C284" s="63" t="s">
        <v>107</v>
      </c>
      <c r="D284" s="63">
        <v>20</v>
      </c>
      <c r="E284" s="63">
        <v>17</v>
      </c>
      <c r="F284" s="63">
        <f t="shared" si="96"/>
        <v>340</v>
      </c>
      <c r="G284" s="63">
        <f t="shared" si="94"/>
        <v>339.66</v>
      </c>
      <c r="H284" s="63"/>
      <c r="I284" s="65">
        <f t="shared" si="97"/>
        <v>4959.7153200000002</v>
      </c>
      <c r="J284" s="85"/>
      <c r="K284" s="18"/>
    </row>
    <row r="285" spans="1:15" ht="26" x14ac:dyDescent="0.6">
      <c r="A285" s="63"/>
      <c r="B285" s="73"/>
      <c r="C285" s="63" t="s">
        <v>108</v>
      </c>
      <c r="D285" s="63">
        <v>10</v>
      </c>
      <c r="E285" s="63">
        <v>10</v>
      </c>
      <c r="F285" s="63">
        <f t="shared" si="96"/>
        <v>100</v>
      </c>
      <c r="G285" s="63">
        <f t="shared" si="94"/>
        <v>99.9</v>
      </c>
      <c r="H285" s="63"/>
      <c r="I285" s="65">
        <f t="shared" si="97"/>
        <v>1458.7398000000001</v>
      </c>
      <c r="J285" s="85"/>
      <c r="K285" s="18"/>
    </row>
    <row r="286" spans="1:15" ht="26" x14ac:dyDescent="0.6">
      <c r="A286" s="97"/>
      <c r="B286" s="73"/>
      <c r="C286" s="97" t="s">
        <v>336</v>
      </c>
      <c r="D286" s="97">
        <v>10</v>
      </c>
      <c r="E286" s="97">
        <v>9</v>
      </c>
      <c r="F286" s="97">
        <f t="shared" si="96"/>
        <v>90</v>
      </c>
      <c r="G286" s="97">
        <f t="shared" si="94"/>
        <v>89.91</v>
      </c>
      <c r="H286" s="97"/>
      <c r="I286" s="98">
        <f t="shared" si="97"/>
        <v>1312.86582</v>
      </c>
      <c r="J286" s="85"/>
      <c r="K286" s="18"/>
    </row>
    <row r="287" spans="1:15" ht="26" x14ac:dyDescent="0.6">
      <c r="A287" s="18"/>
      <c r="B287" s="72"/>
      <c r="C287" s="18" t="s">
        <v>162</v>
      </c>
      <c r="D287" s="18">
        <v>21</v>
      </c>
      <c r="E287" s="18"/>
      <c r="F287" s="18">
        <f t="shared" ref="F287:F290" si="98">+E287*D287</f>
        <v>0</v>
      </c>
      <c r="G287" s="18">
        <f t="shared" si="94"/>
        <v>0</v>
      </c>
      <c r="H287" s="18"/>
      <c r="I287" s="21">
        <f t="shared" ref="I287:I290" si="99">+G287*$K$5</f>
        <v>0</v>
      </c>
      <c r="J287" s="86"/>
      <c r="K287" s="18"/>
    </row>
    <row r="288" spans="1:15" ht="26" x14ac:dyDescent="0.6">
      <c r="A288" s="18"/>
      <c r="B288" s="18"/>
      <c r="C288" s="18"/>
      <c r="D288" s="18"/>
      <c r="E288" s="18"/>
      <c r="F288" s="18">
        <f t="shared" si="98"/>
        <v>0</v>
      </c>
      <c r="G288" s="18">
        <f t="shared" ref="G288" si="100">+F288*0.99</f>
        <v>0</v>
      </c>
      <c r="H288" s="18"/>
      <c r="I288" s="21">
        <f t="shared" si="99"/>
        <v>0</v>
      </c>
      <c r="J288" s="43"/>
      <c r="K288" s="18"/>
    </row>
    <row r="289" spans="1:11" ht="26" x14ac:dyDescent="0.6">
      <c r="B289" s="72"/>
      <c r="C289" s="18" t="s">
        <v>325</v>
      </c>
      <c r="D289" s="18">
        <v>1000</v>
      </c>
      <c r="E289" s="18"/>
      <c r="F289" s="18">
        <f t="shared" si="98"/>
        <v>0</v>
      </c>
      <c r="G289" s="18">
        <f t="shared" ref="G289:G295" si="101">+F289*0.999</f>
        <v>0</v>
      </c>
      <c r="H289" s="18"/>
      <c r="I289" s="21">
        <f t="shared" si="99"/>
        <v>0</v>
      </c>
      <c r="J289" s="86"/>
    </row>
    <row r="290" spans="1:11" ht="26" x14ac:dyDescent="0.6">
      <c r="B290" s="72"/>
      <c r="C290" s="18" t="s">
        <v>326</v>
      </c>
      <c r="D290" s="18">
        <v>100</v>
      </c>
      <c r="E290" s="18"/>
      <c r="F290" s="18">
        <f t="shared" si="98"/>
        <v>0</v>
      </c>
      <c r="G290" s="18">
        <f t="shared" si="101"/>
        <v>0</v>
      </c>
      <c r="H290" s="18"/>
      <c r="I290" s="21">
        <f t="shared" si="99"/>
        <v>0</v>
      </c>
      <c r="J290" s="86"/>
    </row>
    <row r="291" spans="1:11" ht="26" x14ac:dyDescent="0.6">
      <c r="B291" s="72"/>
      <c r="C291" s="18" t="s">
        <v>327</v>
      </c>
      <c r="D291" s="18">
        <v>100</v>
      </c>
      <c r="E291" s="18"/>
      <c r="F291" s="18">
        <f t="shared" ref="F291:F293" si="102">+E291*D291</f>
        <v>0</v>
      </c>
      <c r="G291" s="18">
        <f t="shared" si="101"/>
        <v>0</v>
      </c>
      <c r="H291" s="18"/>
      <c r="I291" s="21">
        <f t="shared" ref="I291:I295" si="103">+G291*$K$5</f>
        <v>0</v>
      </c>
      <c r="J291" s="87"/>
    </row>
    <row r="292" spans="1:11" ht="26" x14ac:dyDescent="0.6">
      <c r="B292" s="72"/>
      <c r="C292" s="18" t="s">
        <v>328</v>
      </c>
      <c r="D292" s="18">
        <v>100</v>
      </c>
      <c r="E292" s="18"/>
      <c r="F292" s="18">
        <f t="shared" si="102"/>
        <v>0</v>
      </c>
      <c r="G292" s="18">
        <f t="shared" si="101"/>
        <v>0</v>
      </c>
      <c r="H292" s="18"/>
      <c r="I292" s="21">
        <f t="shared" si="103"/>
        <v>0</v>
      </c>
      <c r="J292" s="87"/>
    </row>
    <row r="293" spans="1:11" ht="26" x14ac:dyDescent="0.6">
      <c r="B293" s="72"/>
      <c r="C293" s="18" t="s">
        <v>334</v>
      </c>
      <c r="D293" s="18">
        <v>1000</v>
      </c>
      <c r="E293" s="18"/>
      <c r="F293" s="18">
        <f t="shared" si="102"/>
        <v>0</v>
      </c>
      <c r="G293" s="18">
        <f t="shared" si="101"/>
        <v>0</v>
      </c>
      <c r="H293" s="18"/>
      <c r="I293" s="21">
        <f t="shared" si="103"/>
        <v>0</v>
      </c>
      <c r="J293" s="87"/>
    </row>
    <row r="294" spans="1:11" ht="26" x14ac:dyDescent="0.6">
      <c r="B294" s="72"/>
      <c r="C294" s="18" t="s">
        <v>333</v>
      </c>
      <c r="D294" s="18">
        <f>32.5+5.4</f>
        <v>37.9</v>
      </c>
      <c r="E294" s="18"/>
      <c r="F294" s="18">
        <f>+D294</f>
        <v>37.9</v>
      </c>
      <c r="G294" s="18">
        <f t="shared" si="101"/>
        <v>37.862099999999998</v>
      </c>
      <c r="H294" s="18"/>
      <c r="I294" s="21">
        <f t="shared" si="103"/>
        <v>552.86238419999995</v>
      </c>
      <c r="J294" s="87"/>
    </row>
    <row r="295" spans="1:11" ht="26" x14ac:dyDescent="0.6">
      <c r="B295" s="72"/>
      <c r="C295" s="18" t="s">
        <v>335</v>
      </c>
      <c r="D295" s="18">
        <v>31.1</v>
      </c>
      <c r="E295" s="18"/>
      <c r="F295" s="18">
        <f>+E295*D295</f>
        <v>0</v>
      </c>
      <c r="G295" s="18">
        <f t="shared" si="101"/>
        <v>0</v>
      </c>
      <c r="H295" s="18"/>
      <c r="I295" s="21">
        <f t="shared" si="103"/>
        <v>0</v>
      </c>
      <c r="J295" s="87"/>
    </row>
    <row r="298" spans="1:11" ht="28.5" x14ac:dyDescent="0.65">
      <c r="C298" s="107" t="s">
        <v>65</v>
      </c>
      <c r="D298" s="107"/>
    </row>
    <row r="300" spans="1:11" ht="26" x14ac:dyDescent="0.6">
      <c r="A300" s="18"/>
      <c r="B300" s="72"/>
      <c r="C300" s="18" t="s">
        <v>264</v>
      </c>
      <c r="D300" s="18">
        <v>60</v>
      </c>
      <c r="E300" s="18"/>
      <c r="F300" s="18">
        <f t="shared" ref="F300:F303" si="104">+E300*D300</f>
        <v>0</v>
      </c>
      <c r="G300" s="18">
        <f>+F300*0.999</f>
        <v>0</v>
      </c>
      <c r="H300" s="18"/>
      <c r="I300" s="21">
        <f t="shared" ref="I300:I303" si="105">+G300*$K$5</f>
        <v>0</v>
      </c>
      <c r="J300" s="86"/>
      <c r="K300" s="18"/>
    </row>
    <row r="301" spans="1:11" ht="26" x14ac:dyDescent="0.6">
      <c r="A301" s="18"/>
      <c r="B301" s="72"/>
      <c r="C301" s="18" t="s">
        <v>266</v>
      </c>
      <c r="D301" s="18">
        <v>20</v>
      </c>
      <c r="E301" s="18"/>
      <c r="F301" s="18">
        <f t="shared" si="104"/>
        <v>0</v>
      </c>
      <c r="G301" s="18">
        <f>+F301*0.999</f>
        <v>0</v>
      </c>
      <c r="H301" s="18"/>
      <c r="I301" s="21">
        <f t="shared" si="105"/>
        <v>0</v>
      </c>
      <c r="J301" s="86"/>
      <c r="K301" s="18"/>
    </row>
    <row r="302" spans="1:11" ht="26" x14ac:dyDescent="0.6">
      <c r="A302" s="18"/>
      <c r="B302" s="72"/>
      <c r="C302" s="18" t="s">
        <v>265</v>
      </c>
      <c r="D302" s="18">
        <v>20</v>
      </c>
      <c r="E302" s="18"/>
      <c r="F302" s="18">
        <f t="shared" si="104"/>
        <v>0</v>
      </c>
      <c r="G302" s="18">
        <f>+F302*0.999</f>
        <v>0</v>
      </c>
      <c r="H302" s="18"/>
      <c r="I302" s="21">
        <f t="shared" si="105"/>
        <v>0</v>
      </c>
      <c r="J302" s="86"/>
      <c r="K302" s="18"/>
    </row>
    <row r="303" spans="1:11" ht="26" x14ac:dyDescent="0.6">
      <c r="A303" s="18"/>
      <c r="B303" s="72"/>
      <c r="C303" s="18" t="s">
        <v>267</v>
      </c>
      <c r="D303" s="18">
        <v>20</v>
      </c>
      <c r="E303" s="18"/>
      <c r="F303" s="18">
        <f t="shared" si="104"/>
        <v>0</v>
      </c>
      <c r="G303" s="18">
        <f>+F303*0.999</f>
        <v>0</v>
      </c>
      <c r="H303" s="18"/>
      <c r="I303" s="21">
        <f t="shared" si="105"/>
        <v>0</v>
      </c>
      <c r="J303" s="86"/>
      <c r="K303" s="18"/>
    </row>
    <row r="304" spans="1:11" ht="26" x14ac:dyDescent="0.6">
      <c r="A304" s="18"/>
      <c r="B304" s="72"/>
      <c r="C304" s="18" t="s">
        <v>68</v>
      </c>
      <c r="D304" s="18">
        <v>15.55</v>
      </c>
      <c r="E304" s="18"/>
      <c r="F304" s="18">
        <f t="shared" ref="F304:F311" si="106">+E304*D304</f>
        <v>0</v>
      </c>
      <c r="G304" s="18">
        <f>+F304*0.99</f>
        <v>0</v>
      </c>
      <c r="H304" s="18"/>
      <c r="I304" s="21">
        <f t="shared" ref="I304:I311" si="107">+G304*$K$5</f>
        <v>0</v>
      </c>
      <c r="J304" s="86"/>
      <c r="K304" s="18"/>
    </row>
    <row r="305" spans="1:11" ht="26" x14ac:dyDescent="0.6">
      <c r="A305" s="18"/>
      <c r="B305" s="72"/>
      <c r="C305" s="18" t="s">
        <v>72</v>
      </c>
      <c r="D305" s="18">
        <v>15.55</v>
      </c>
      <c r="E305" s="18"/>
      <c r="F305" s="18">
        <f t="shared" si="106"/>
        <v>0</v>
      </c>
      <c r="G305" s="18">
        <f>+F305*0.99</f>
        <v>0</v>
      </c>
      <c r="H305" s="18"/>
      <c r="I305" s="21">
        <f t="shared" si="107"/>
        <v>0</v>
      </c>
      <c r="J305" s="86"/>
      <c r="K305" s="18"/>
    </row>
    <row r="306" spans="1:11" ht="26" x14ac:dyDescent="0.6">
      <c r="A306" s="18"/>
      <c r="B306" s="72"/>
      <c r="C306" s="18" t="s">
        <v>69</v>
      </c>
      <c r="D306" s="18">
        <v>20</v>
      </c>
      <c r="E306" s="18"/>
      <c r="F306" s="18">
        <f t="shared" si="106"/>
        <v>0</v>
      </c>
      <c r="G306" s="18">
        <f>+F306*0.925</f>
        <v>0</v>
      </c>
      <c r="H306" s="18"/>
      <c r="I306" s="21">
        <f t="shared" si="107"/>
        <v>0</v>
      </c>
      <c r="J306" s="86"/>
      <c r="K306" s="18"/>
    </row>
    <row r="307" spans="1:11" ht="26" x14ac:dyDescent="0.6">
      <c r="A307" s="18"/>
      <c r="B307" s="72"/>
      <c r="C307" s="18" t="s">
        <v>70</v>
      </c>
      <c r="D307" s="18">
        <v>31.1</v>
      </c>
      <c r="E307" s="18"/>
      <c r="F307" s="18">
        <f t="shared" si="106"/>
        <v>0</v>
      </c>
      <c r="G307" s="18">
        <f>+F307*0.99</f>
        <v>0</v>
      </c>
      <c r="H307" s="18"/>
      <c r="I307" s="21">
        <f t="shared" si="107"/>
        <v>0</v>
      </c>
      <c r="J307" s="86"/>
      <c r="K307" s="18"/>
    </row>
    <row r="308" spans="1:11" ht="26" x14ac:dyDescent="0.6">
      <c r="A308" s="18"/>
      <c r="B308" s="72"/>
      <c r="C308" s="18" t="s">
        <v>70</v>
      </c>
      <c r="D308" s="18">
        <v>31.1</v>
      </c>
      <c r="E308" s="18"/>
      <c r="F308" s="18">
        <f t="shared" si="106"/>
        <v>0</v>
      </c>
      <c r="G308" s="18">
        <f>+F308*0.99</f>
        <v>0</v>
      </c>
      <c r="H308" s="18"/>
      <c r="I308" s="21">
        <f t="shared" si="107"/>
        <v>0</v>
      </c>
      <c r="J308" s="86"/>
      <c r="K308" s="18"/>
    </row>
    <row r="309" spans="1:11" ht="26" x14ac:dyDescent="0.6">
      <c r="A309" s="18"/>
      <c r="B309" s="72"/>
      <c r="C309" s="18" t="s">
        <v>263</v>
      </c>
      <c r="D309" s="18">
        <v>31.1</v>
      </c>
      <c r="E309" s="18"/>
      <c r="F309" s="18">
        <f t="shared" si="106"/>
        <v>0</v>
      </c>
      <c r="G309" s="18">
        <f t="shared" ref="G309:G310" si="108">+F309*0.99</f>
        <v>0</v>
      </c>
      <c r="H309" s="18"/>
      <c r="I309" s="21">
        <f t="shared" si="107"/>
        <v>0</v>
      </c>
      <c r="J309" s="86"/>
      <c r="K309" s="18"/>
    </row>
    <row r="310" spans="1:11" ht="26" x14ac:dyDescent="0.6">
      <c r="A310" s="18"/>
      <c r="B310" s="72"/>
      <c r="C310" s="18" t="s">
        <v>71</v>
      </c>
      <c r="D310" s="18">
        <v>31.1</v>
      </c>
      <c r="E310" s="18"/>
      <c r="F310" s="18">
        <f>+E310*D310</f>
        <v>0</v>
      </c>
      <c r="G310" s="18">
        <f t="shared" si="108"/>
        <v>0</v>
      </c>
      <c r="H310" s="18"/>
      <c r="I310" s="21">
        <f>+G310*$K$5</f>
        <v>0</v>
      </c>
      <c r="J310" s="86"/>
      <c r="K310" s="18"/>
    </row>
    <row r="311" spans="1:11" ht="26" x14ac:dyDescent="0.6">
      <c r="A311" s="18"/>
      <c r="B311" s="72"/>
      <c r="C311" s="18" t="s">
        <v>73</v>
      </c>
      <c r="D311" s="18">
        <v>31.1</v>
      </c>
      <c r="E311" s="18"/>
      <c r="F311" s="18">
        <f t="shared" si="106"/>
        <v>0</v>
      </c>
      <c r="G311" s="18">
        <f t="shared" ref="G311:G312" si="109">+F311*0.99</f>
        <v>0</v>
      </c>
      <c r="H311" s="18"/>
      <c r="I311" s="21">
        <f t="shared" si="107"/>
        <v>0</v>
      </c>
      <c r="J311" s="86"/>
      <c r="K311" s="18"/>
    </row>
    <row r="312" spans="1:11" ht="26" x14ac:dyDescent="0.6">
      <c r="A312" s="18"/>
      <c r="B312" s="72"/>
      <c r="C312" s="18" t="s">
        <v>160</v>
      </c>
      <c r="D312" s="18">
        <v>15.55</v>
      </c>
      <c r="E312" s="18"/>
      <c r="F312" s="18">
        <f t="shared" ref="F312:F314" si="110">+E312*D312</f>
        <v>0</v>
      </c>
      <c r="G312" s="18">
        <f t="shared" si="109"/>
        <v>0</v>
      </c>
      <c r="H312" s="18"/>
      <c r="I312" s="21">
        <f t="shared" ref="I312:I314" si="111">+G312*$K$5</f>
        <v>0</v>
      </c>
      <c r="J312" s="85"/>
      <c r="K312" s="18"/>
    </row>
    <row r="313" spans="1:11" ht="26" x14ac:dyDescent="0.6">
      <c r="A313" s="18"/>
      <c r="B313" s="72"/>
      <c r="C313" s="18" t="s">
        <v>110</v>
      </c>
      <c r="D313" s="18">
        <v>1000</v>
      </c>
      <c r="E313" s="18"/>
      <c r="F313" s="18">
        <f t="shared" si="110"/>
        <v>0</v>
      </c>
      <c r="G313" s="18">
        <f>+F313*0.999</f>
        <v>0</v>
      </c>
      <c r="H313" s="18"/>
      <c r="I313" s="21">
        <f t="shared" si="111"/>
        <v>0</v>
      </c>
      <c r="J313" s="85"/>
      <c r="K313" s="18"/>
    </row>
    <row r="314" spans="1:11" ht="26" x14ac:dyDescent="0.6">
      <c r="A314" s="18"/>
      <c r="B314" s="72"/>
      <c r="C314" s="18" t="s">
        <v>109</v>
      </c>
      <c r="D314" s="18">
        <v>1000</v>
      </c>
      <c r="E314" s="18"/>
      <c r="F314" s="18">
        <f t="shared" si="110"/>
        <v>0</v>
      </c>
      <c r="G314" s="18">
        <f>+F314*0.999</f>
        <v>0</v>
      </c>
      <c r="H314" s="18"/>
      <c r="I314" s="21">
        <f t="shared" si="111"/>
        <v>0</v>
      </c>
      <c r="J314" s="85"/>
      <c r="K314" s="18"/>
    </row>
    <row r="315" spans="1:11" ht="26" x14ac:dyDescent="0.6">
      <c r="A315" s="18"/>
      <c r="B315" s="72" t="s">
        <v>337</v>
      </c>
      <c r="C315" s="18" t="s">
        <v>111</v>
      </c>
      <c r="D315" s="18">
        <v>8</v>
      </c>
      <c r="E315" s="18"/>
      <c r="F315" s="18">
        <f t="shared" ref="F315:F319" si="112">+E315*D315</f>
        <v>0</v>
      </c>
      <c r="G315" s="18">
        <f t="shared" ref="G315:G319" si="113">+F315*0.999</f>
        <v>0</v>
      </c>
      <c r="H315" s="18"/>
      <c r="I315" s="21">
        <f t="shared" ref="I315:I319" si="114">+G315*$K$5</f>
        <v>0</v>
      </c>
      <c r="J315" s="85"/>
      <c r="K315" s="18" t="s">
        <v>337</v>
      </c>
    </row>
    <row r="316" spans="1:11" ht="26" x14ac:dyDescent="0.6">
      <c r="A316" s="18"/>
      <c r="B316" s="72" t="s">
        <v>337</v>
      </c>
      <c r="C316" s="18" t="s">
        <v>147</v>
      </c>
      <c r="D316" s="18">
        <v>2</v>
      </c>
      <c r="E316" s="18"/>
      <c r="F316" s="18">
        <f t="shared" si="112"/>
        <v>0</v>
      </c>
      <c r="G316" s="18">
        <f t="shared" si="113"/>
        <v>0</v>
      </c>
      <c r="H316" s="18"/>
      <c r="I316" s="21">
        <f t="shared" si="114"/>
        <v>0</v>
      </c>
      <c r="J316" s="85"/>
      <c r="K316" s="18" t="s">
        <v>337</v>
      </c>
    </row>
    <row r="317" spans="1:11" ht="26" x14ac:dyDescent="0.6">
      <c r="A317" s="18"/>
      <c r="B317" s="72" t="s">
        <v>337</v>
      </c>
      <c r="C317" s="18" t="s">
        <v>111</v>
      </c>
      <c r="D317" s="18">
        <v>76</v>
      </c>
      <c r="E317" s="18"/>
      <c r="F317" s="18">
        <f t="shared" si="112"/>
        <v>0</v>
      </c>
      <c r="G317" s="18">
        <f t="shared" si="113"/>
        <v>0</v>
      </c>
      <c r="H317" s="18"/>
      <c r="I317" s="21">
        <f t="shared" si="114"/>
        <v>0</v>
      </c>
      <c r="J317" s="85"/>
      <c r="K317" s="18" t="s">
        <v>337</v>
      </c>
    </row>
    <row r="318" spans="1:11" ht="26" x14ac:dyDescent="0.6">
      <c r="A318" s="18"/>
      <c r="B318" s="72"/>
      <c r="C318" s="18" t="s">
        <v>161</v>
      </c>
      <c r="D318" s="18">
        <f>31.1*2</f>
        <v>62.2</v>
      </c>
      <c r="E318" s="18"/>
      <c r="F318" s="18">
        <f t="shared" si="112"/>
        <v>0</v>
      </c>
      <c r="G318" s="18">
        <f t="shared" si="113"/>
        <v>0</v>
      </c>
      <c r="H318" s="18"/>
      <c r="I318" s="21">
        <f t="shared" si="114"/>
        <v>0</v>
      </c>
      <c r="J318" s="85"/>
      <c r="K318" s="18"/>
    </row>
    <row r="319" spans="1:11" ht="26" x14ac:dyDescent="0.6">
      <c r="A319" s="18"/>
      <c r="B319" s="73"/>
      <c r="C319" s="18" t="s">
        <v>324</v>
      </c>
      <c r="D319" s="18">
        <v>1.58</v>
      </c>
      <c r="E319" s="18"/>
      <c r="F319" s="18">
        <f t="shared" si="112"/>
        <v>0</v>
      </c>
      <c r="G319" s="18">
        <f t="shared" si="113"/>
        <v>0</v>
      </c>
      <c r="H319" s="18"/>
      <c r="I319" s="21">
        <f t="shared" si="114"/>
        <v>0</v>
      </c>
      <c r="J319" s="85"/>
      <c r="K319" s="18"/>
    </row>
    <row r="320" spans="1:11" ht="26" x14ac:dyDescent="0.6">
      <c r="A320" s="18"/>
      <c r="B320" s="72"/>
      <c r="C320" s="18"/>
      <c r="D320" s="18"/>
      <c r="E320" s="18"/>
      <c r="F320" s="18"/>
      <c r="G320" s="18"/>
      <c r="H320" s="18"/>
      <c r="I320" s="21"/>
      <c r="J320" s="18"/>
      <c r="K320" s="18"/>
    </row>
    <row r="321" spans="1:11" ht="26" x14ac:dyDescent="0.6">
      <c r="A321" s="18"/>
      <c r="B321" s="72"/>
      <c r="C321" s="18" t="s">
        <v>309</v>
      </c>
      <c r="D321" s="18">
        <f>31.1/2</f>
        <v>15.55</v>
      </c>
      <c r="E321" s="18"/>
      <c r="F321" s="18">
        <f t="shared" ref="F321:F322" si="115">+E321*D321</f>
        <v>0</v>
      </c>
      <c r="G321" s="18">
        <f t="shared" ref="G321:G364" si="116">+F321*0.999</f>
        <v>0</v>
      </c>
      <c r="H321" s="18"/>
      <c r="I321" s="21">
        <f t="shared" ref="I321" si="117">+G321*$K$5</f>
        <v>0</v>
      </c>
      <c r="J321" s="85"/>
      <c r="K321" s="18"/>
    </row>
    <row r="322" spans="1:11" ht="26" x14ac:dyDescent="0.6">
      <c r="A322" s="18"/>
      <c r="B322" s="72"/>
      <c r="C322" s="18" t="s">
        <v>127</v>
      </c>
      <c r="D322" s="18">
        <v>31.1</v>
      </c>
      <c r="E322" s="18"/>
      <c r="F322" s="18">
        <f t="shared" si="115"/>
        <v>0</v>
      </c>
      <c r="G322" s="18">
        <f>+F322*0.999</f>
        <v>0</v>
      </c>
      <c r="H322" s="18"/>
      <c r="I322" s="21">
        <f>+G322*$K$5</f>
        <v>0</v>
      </c>
      <c r="J322" s="85"/>
      <c r="K322" s="18"/>
    </row>
    <row r="323" spans="1:11" ht="26" x14ac:dyDescent="0.6">
      <c r="A323" s="18"/>
      <c r="B323" s="72"/>
      <c r="C323" s="18" t="s">
        <v>310</v>
      </c>
      <c r="D323" s="18">
        <v>31.1</v>
      </c>
      <c r="E323" s="18"/>
      <c r="F323" s="18">
        <f t="shared" ref="F323:F324" si="118">+E323*D323</f>
        <v>0</v>
      </c>
      <c r="G323" s="18">
        <f t="shared" si="116"/>
        <v>0</v>
      </c>
      <c r="H323" s="18"/>
      <c r="I323" s="21">
        <f t="shared" ref="I323:I324" si="119">+G323*$K$5</f>
        <v>0</v>
      </c>
      <c r="J323" s="85"/>
      <c r="K323" s="18"/>
    </row>
    <row r="324" spans="1:11" ht="26" x14ac:dyDescent="0.6">
      <c r="A324" s="18"/>
      <c r="B324" s="72"/>
      <c r="C324" s="18" t="s">
        <v>311</v>
      </c>
      <c r="D324" s="18">
        <v>31.1</v>
      </c>
      <c r="E324" s="18"/>
      <c r="F324" s="18">
        <f t="shared" si="118"/>
        <v>0</v>
      </c>
      <c r="G324" s="18">
        <f t="shared" si="116"/>
        <v>0</v>
      </c>
      <c r="H324" s="18"/>
      <c r="I324" s="21">
        <f t="shared" si="119"/>
        <v>0</v>
      </c>
      <c r="J324" s="85"/>
      <c r="K324" s="18"/>
    </row>
    <row r="325" spans="1:11" ht="26" x14ac:dyDescent="0.6">
      <c r="A325" s="18"/>
      <c r="B325" s="72"/>
      <c r="C325" s="18" t="s">
        <v>130</v>
      </c>
      <c r="D325" s="18">
        <v>310</v>
      </c>
      <c r="E325" s="18"/>
      <c r="F325" s="18">
        <f t="shared" ref="F325:F338" si="120">+E325*D325</f>
        <v>0</v>
      </c>
      <c r="G325" s="18">
        <f t="shared" si="116"/>
        <v>0</v>
      </c>
      <c r="H325" s="18"/>
      <c r="I325" s="21">
        <f t="shared" ref="I325:I338" si="121">+G325*$K$5</f>
        <v>0</v>
      </c>
      <c r="J325" s="85"/>
      <c r="K325" s="18"/>
    </row>
    <row r="326" spans="1:11" ht="26" x14ac:dyDescent="0.6">
      <c r="A326" s="18"/>
      <c r="B326" s="72"/>
      <c r="C326" s="18" t="s">
        <v>131</v>
      </c>
      <c r="D326" s="18">
        <v>120</v>
      </c>
      <c r="E326" s="18"/>
      <c r="F326" s="18">
        <f t="shared" si="120"/>
        <v>0</v>
      </c>
      <c r="G326" s="18">
        <f t="shared" si="116"/>
        <v>0</v>
      </c>
      <c r="H326" s="18"/>
      <c r="I326" s="21">
        <f t="shared" si="121"/>
        <v>0</v>
      </c>
      <c r="J326" s="85"/>
      <c r="K326" s="18"/>
    </row>
    <row r="327" spans="1:11" ht="26" x14ac:dyDescent="0.6">
      <c r="A327" s="18"/>
      <c r="B327" s="72"/>
      <c r="C327" s="18" t="s">
        <v>159</v>
      </c>
      <c r="D327" s="18">
        <v>31.1</v>
      </c>
      <c r="E327" s="18"/>
      <c r="F327" s="18">
        <f t="shared" si="120"/>
        <v>0</v>
      </c>
      <c r="G327" s="18">
        <f t="shared" si="116"/>
        <v>0</v>
      </c>
      <c r="H327" s="18"/>
      <c r="I327" s="21">
        <f t="shared" si="121"/>
        <v>0</v>
      </c>
      <c r="J327" s="85"/>
      <c r="K327" s="18"/>
    </row>
    <row r="328" spans="1:11" ht="26" x14ac:dyDescent="0.6">
      <c r="A328" s="18"/>
      <c r="B328" s="72"/>
      <c r="C328" s="18" t="s">
        <v>163</v>
      </c>
      <c r="D328" s="18">
        <v>31.1</v>
      </c>
      <c r="E328" s="18"/>
      <c r="F328" s="18">
        <f t="shared" si="120"/>
        <v>0</v>
      </c>
      <c r="G328" s="18">
        <f t="shared" si="116"/>
        <v>0</v>
      </c>
      <c r="H328" s="18"/>
      <c r="I328" s="21">
        <f t="shared" si="121"/>
        <v>0</v>
      </c>
      <c r="J328" s="85"/>
      <c r="K328" s="18"/>
    </row>
    <row r="329" spans="1:11" ht="26" x14ac:dyDescent="0.6">
      <c r="A329" s="18"/>
      <c r="B329" s="72"/>
      <c r="C329" s="18" t="s">
        <v>314</v>
      </c>
      <c r="D329" s="18">
        <v>31.1</v>
      </c>
      <c r="E329" s="18"/>
      <c r="F329" s="18">
        <f t="shared" si="120"/>
        <v>0</v>
      </c>
      <c r="G329" s="18">
        <f t="shared" si="116"/>
        <v>0</v>
      </c>
      <c r="H329" s="18"/>
      <c r="I329" s="21">
        <f t="shared" si="121"/>
        <v>0</v>
      </c>
      <c r="J329" s="85"/>
      <c r="K329" s="18"/>
    </row>
    <row r="330" spans="1:11" ht="26" x14ac:dyDescent="0.6">
      <c r="A330" s="18"/>
      <c r="B330" s="72"/>
      <c r="C330" s="18" t="s">
        <v>315</v>
      </c>
      <c r="D330" s="18">
        <v>31.1</v>
      </c>
      <c r="E330" s="18"/>
      <c r="F330" s="18">
        <f t="shared" si="120"/>
        <v>0</v>
      </c>
      <c r="G330" s="18">
        <f t="shared" si="116"/>
        <v>0</v>
      </c>
      <c r="H330" s="18"/>
      <c r="I330" s="21">
        <f t="shared" si="121"/>
        <v>0</v>
      </c>
      <c r="J330" s="85"/>
      <c r="K330" s="18"/>
    </row>
    <row r="331" spans="1:11" ht="26" x14ac:dyDescent="0.6">
      <c r="A331" s="18"/>
      <c r="B331" s="72"/>
      <c r="C331" s="18" t="s">
        <v>313</v>
      </c>
      <c r="D331" s="18">
        <v>31.1</v>
      </c>
      <c r="E331" s="18"/>
      <c r="F331" s="18">
        <f t="shared" si="120"/>
        <v>0</v>
      </c>
      <c r="G331" s="18">
        <f t="shared" si="116"/>
        <v>0</v>
      </c>
      <c r="H331" s="18"/>
      <c r="I331" s="21">
        <f t="shared" si="121"/>
        <v>0</v>
      </c>
      <c r="J331" s="85"/>
      <c r="K331" s="18"/>
    </row>
    <row r="332" spans="1:11" ht="26" x14ac:dyDescent="0.6">
      <c r="A332" s="18"/>
      <c r="B332" s="72"/>
      <c r="C332" s="18" t="s">
        <v>164</v>
      </c>
      <c r="D332" s="18">
        <v>31.1</v>
      </c>
      <c r="E332" s="18"/>
      <c r="F332" s="18">
        <f t="shared" si="120"/>
        <v>0</v>
      </c>
      <c r="G332" s="18">
        <f t="shared" si="116"/>
        <v>0</v>
      </c>
      <c r="H332" s="18"/>
      <c r="I332" s="21">
        <f t="shared" si="121"/>
        <v>0</v>
      </c>
      <c r="J332" s="85"/>
      <c r="K332" s="18"/>
    </row>
    <row r="333" spans="1:11" ht="26" x14ac:dyDescent="0.6">
      <c r="A333" s="18"/>
      <c r="B333" s="72"/>
      <c r="C333" s="18" t="s">
        <v>316</v>
      </c>
      <c r="D333" s="18">
        <v>31.1</v>
      </c>
      <c r="E333" s="18"/>
      <c r="F333" s="18">
        <f t="shared" si="120"/>
        <v>0</v>
      </c>
      <c r="G333" s="18">
        <f t="shared" si="116"/>
        <v>0</v>
      </c>
      <c r="H333" s="18"/>
      <c r="I333" s="21">
        <f t="shared" si="121"/>
        <v>0</v>
      </c>
      <c r="J333" s="85"/>
      <c r="K333" s="18"/>
    </row>
    <row r="334" spans="1:11" ht="26" x14ac:dyDescent="0.6">
      <c r="A334" s="18"/>
      <c r="B334" s="72"/>
      <c r="C334" s="18" t="s">
        <v>317</v>
      </c>
      <c r="D334" s="18">
        <v>31.1</v>
      </c>
      <c r="E334" s="18"/>
      <c r="F334" s="18">
        <f t="shared" si="120"/>
        <v>0</v>
      </c>
      <c r="G334" s="18">
        <f t="shared" si="116"/>
        <v>0</v>
      </c>
      <c r="H334" s="18"/>
      <c r="I334" s="21">
        <f t="shared" si="121"/>
        <v>0</v>
      </c>
      <c r="J334" s="85"/>
      <c r="K334" s="18"/>
    </row>
    <row r="335" spans="1:11" ht="26" x14ac:dyDescent="0.6">
      <c r="A335" s="18"/>
      <c r="B335" s="72"/>
      <c r="C335" s="18" t="s">
        <v>312</v>
      </c>
      <c r="D335" s="18">
        <v>31.1</v>
      </c>
      <c r="E335" s="18"/>
      <c r="F335" s="18">
        <f t="shared" si="120"/>
        <v>0</v>
      </c>
      <c r="G335" s="18">
        <f t="shared" si="116"/>
        <v>0</v>
      </c>
      <c r="H335" s="18"/>
      <c r="I335" s="21">
        <f t="shared" si="121"/>
        <v>0</v>
      </c>
      <c r="J335" s="85"/>
      <c r="K335" s="18"/>
    </row>
    <row r="336" spans="1:11" ht="26" x14ac:dyDescent="0.6">
      <c r="A336" s="18"/>
      <c r="B336" s="72"/>
      <c r="C336" s="18" t="s">
        <v>319</v>
      </c>
      <c r="D336" s="18">
        <v>31.1</v>
      </c>
      <c r="E336" s="18"/>
      <c r="F336" s="18">
        <f t="shared" si="120"/>
        <v>0</v>
      </c>
      <c r="G336" s="18">
        <f t="shared" si="116"/>
        <v>0</v>
      </c>
      <c r="H336" s="18"/>
      <c r="I336" s="21">
        <f t="shared" si="121"/>
        <v>0</v>
      </c>
      <c r="J336" s="85"/>
      <c r="K336" s="18"/>
    </row>
    <row r="337" spans="1:14" ht="26" x14ac:dyDescent="0.6">
      <c r="A337" s="18"/>
      <c r="B337" s="72"/>
      <c r="C337" s="18" t="s">
        <v>320</v>
      </c>
      <c r="D337" s="18">
        <v>31.1</v>
      </c>
      <c r="E337" s="18"/>
      <c r="F337" s="18">
        <f t="shared" si="120"/>
        <v>0</v>
      </c>
      <c r="G337" s="18">
        <f t="shared" si="116"/>
        <v>0</v>
      </c>
      <c r="H337" s="18"/>
      <c r="I337" s="21">
        <f t="shared" si="121"/>
        <v>0</v>
      </c>
      <c r="J337" s="85"/>
      <c r="K337" s="18"/>
    </row>
    <row r="338" spans="1:14" ht="26" x14ac:dyDescent="0.6">
      <c r="A338" s="18"/>
      <c r="B338" s="72"/>
      <c r="C338" s="18" t="s">
        <v>318</v>
      </c>
      <c r="D338" s="18">
        <v>31.1</v>
      </c>
      <c r="E338" s="18"/>
      <c r="F338" s="18">
        <f t="shared" si="120"/>
        <v>0</v>
      </c>
      <c r="G338" s="18">
        <f t="shared" si="116"/>
        <v>0</v>
      </c>
      <c r="H338" s="18"/>
      <c r="I338" s="21">
        <f t="shared" si="121"/>
        <v>0</v>
      </c>
      <c r="J338" s="85"/>
      <c r="K338" s="18"/>
    </row>
    <row r="339" spans="1:14" ht="26" x14ac:dyDescent="0.6">
      <c r="A339" s="18"/>
      <c r="B339" s="72"/>
      <c r="C339" s="18" t="s">
        <v>321</v>
      </c>
      <c r="D339" s="18">
        <v>31.1</v>
      </c>
      <c r="E339" s="18"/>
      <c r="F339" s="18">
        <f t="shared" ref="F339" si="122">+E339*D339</f>
        <v>0</v>
      </c>
      <c r="G339" s="18">
        <f t="shared" si="116"/>
        <v>0</v>
      </c>
      <c r="H339" s="18"/>
      <c r="I339" s="21">
        <f t="shared" ref="I339" si="123">+G339*$K$5</f>
        <v>0</v>
      </c>
      <c r="J339" s="85"/>
      <c r="K339" s="18"/>
    </row>
    <row r="340" spans="1:14" ht="26" x14ac:dyDescent="0.6">
      <c r="A340" s="18"/>
      <c r="B340" s="72"/>
      <c r="C340" s="18" t="s">
        <v>308</v>
      </c>
      <c r="D340" s="18">
        <v>31.1</v>
      </c>
      <c r="E340" s="18"/>
      <c r="F340" s="18">
        <f t="shared" ref="F340:F342" si="124">+E340*D340</f>
        <v>0</v>
      </c>
      <c r="G340" s="18">
        <f t="shared" si="116"/>
        <v>0</v>
      </c>
      <c r="H340" s="18"/>
      <c r="I340" s="21">
        <f t="shared" ref="I340:I342" si="125">+G340*$K$5</f>
        <v>0</v>
      </c>
      <c r="J340" s="85"/>
      <c r="K340" s="18"/>
    </row>
    <row r="341" spans="1:14" ht="26" x14ac:dyDescent="0.6">
      <c r="A341" s="18"/>
      <c r="B341" s="72"/>
      <c r="C341" s="18" t="s">
        <v>322</v>
      </c>
      <c r="D341" s="18">
        <v>31.1</v>
      </c>
      <c r="E341" s="18"/>
      <c r="F341" s="18">
        <f t="shared" si="124"/>
        <v>0</v>
      </c>
      <c r="G341" s="18">
        <f t="shared" si="116"/>
        <v>0</v>
      </c>
      <c r="H341" s="18"/>
      <c r="I341" s="21">
        <f t="shared" si="125"/>
        <v>0</v>
      </c>
      <c r="J341" s="85"/>
      <c r="K341" s="18"/>
    </row>
    <row r="342" spans="1:14" ht="26" x14ac:dyDescent="0.6">
      <c r="A342" s="18"/>
      <c r="B342" s="72"/>
      <c r="C342" s="18" t="s">
        <v>323</v>
      </c>
      <c r="D342" s="18">
        <v>31.1</v>
      </c>
      <c r="E342" s="18"/>
      <c r="F342" s="18">
        <f t="shared" si="124"/>
        <v>0</v>
      </c>
      <c r="G342" s="18">
        <f t="shared" si="116"/>
        <v>0</v>
      </c>
      <c r="H342" s="18"/>
      <c r="I342" s="21">
        <f t="shared" si="125"/>
        <v>0</v>
      </c>
      <c r="J342" s="85"/>
      <c r="K342" s="18"/>
    </row>
    <row r="343" spans="1:14" ht="26" x14ac:dyDescent="0.6">
      <c r="A343" s="18"/>
      <c r="B343" s="72"/>
      <c r="C343" s="18" t="s">
        <v>170</v>
      </c>
      <c r="D343" s="18">
        <v>1000</v>
      </c>
      <c r="E343" s="18"/>
      <c r="F343" s="18">
        <f t="shared" ref="F343:F364" si="126">+E343*D343</f>
        <v>0</v>
      </c>
      <c r="G343" s="18">
        <f t="shared" si="116"/>
        <v>0</v>
      </c>
      <c r="H343" s="18"/>
      <c r="I343" s="21">
        <f t="shared" ref="I343:I364" si="127">+G343*$K$5</f>
        <v>0</v>
      </c>
      <c r="J343" s="85"/>
      <c r="K343" s="18"/>
    </row>
    <row r="344" spans="1:14" ht="26" x14ac:dyDescent="0.6">
      <c r="A344" s="18"/>
      <c r="B344" s="72"/>
      <c r="C344" s="18" t="s">
        <v>305</v>
      </c>
      <c r="D344" s="18">
        <v>117</v>
      </c>
      <c r="E344" s="18"/>
      <c r="F344" s="18">
        <f t="shared" si="126"/>
        <v>0</v>
      </c>
      <c r="G344" s="18">
        <f t="shared" si="116"/>
        <v>0</v>
      </c>
      <c r="H344" s="18"/>
      <c r="I344" s="21">
        <f t="shared" si="127"/>
        <v>0</v>
      </c>
      <c r="J344" s="85"/>
      <c r="K344" s="18"/>
    </row>
    <row r="345" spans="1:14" ht="26" x14ac:dyDescent="0.6">
      <c r="A345" s="18"/>
      <c r="B345" s="72"/>
      <c r="C345" s="18" t="s">
        <v>294</v>
      </c>
      <c r="D345" s="18">
        <v>62.2</v>
      </c>
      <c r="E345" s="18"/>
      <c r="F345" s="18">
        <f t="shared" si="126"/>
        <v>0</v>
      </c>
      <c r="G345" s="18">
        <f t="shared" si="116"/>
        <v>0</v>
      </c>
      <c r="H345" s="18"/>
      <c r="I345" s="21">
        <f t="shared" si="127"/>
        <v>0</v>
      </c>
      <c r="J345" s="85"/>
      <c r="K345" s="18"/>
    </row>
    <row r="346" spans="1:14" ht="26" x14ac:dyDescent="0.6">
      <c r="A346" s="18"/>
      <c r="B346" s="72"/>
      <c r="C346" s="18" t="s">
        <v>295</v>
      </c>
      <c r="D346" s="18">
        <v>10</v>
      </c>
      <c r="E346" s="18"/>
      <c r="F346" s="18">
        <f t="shared" si="126"/>
        <v>0</v>
      </c>
      <c r="G346" s="18">
        <f t="shared" si="116"/>
        <v>0</v>
      </c>
      <c r="H346" s="18"/>
      <c r="I346" s="21">
        <f t="shared" si="127"/>
        <v>0</v>
      </c>
      <c r="J346" s="85"/>
      <c r="K346" s="18"/>
    </row>
    <row r="347" spans="1:14" ht="26" x14ac:dyDescent="0.6">
      <c r="A347" s="18"/>
      <c r="B347" s="72"/>
      <c r="C347" s="18" t="s">
        <v>296</v>
      </c>
      <c r="D347" s="18">
        <v>31.1</v>
      </c>
      <c r="E347" s="18"/>
      <c r="F347" s="18">
        <f t="shared" si="126"/>
        <v>0</v>
      </c>
      <c r="G347" s="18">
        <f t="shared" si="116"/>
        <v>0</v>
      </c>
      <c r="H347" s="18"/>
      <c r="I347" s="21">
        <f t="shared" si="127"/>
        <v>0</v>
      </c>
      <c r="J347" s="85"/>
      <c r="K347" s="18"/>
    </row>
    <row r="348" spans="1:14" ht="26" x14ac:dyDescent="0.6">
      <c r="A348" s="18"/>
      <c r="B348" s="72"/>
      <c r="C348" s="18" t="s">
        <v>297</v>
      </c>
      <c r="D348" s="18">
        <v>93.32</v>
      </c>
      <c r="E348" s="18"/>
      <c r="F348" s="18">
        <f t="shared" ref="F348:F361" si="128">+E348*D348</f>
        <v>0</v>
      </c>
      <c r="G348" s="18">
        <f t="shared" ref="G348:G361" si="129">+F348*0.999</f>
        <v>0</v>
      </c>
      <c r="H348" s="18"/>
      <c r="I348" s="21">
        <f t="shared" ref="I348:I362" si="130">+G348*$K$5</f>
        <v>0</v>
      </c>
      <c r="J348" s="85"/>
      <c r="K348" s="18"/>
    </row>
    <row r="349" spans="1:14" ht="26" x14ac:dyDescent="0.6">
      <c r="A349" s="18"/>
      <c r="B349" s="72"/>
      <c r="C349" s="18" t="s">
        <v>298</v>
      </c>
      <c r="D349" s="18">
        <v>13</v>
      </c>
      <c r="E349" s="18"/>
      <c r="F349" s="18">
        <f t="shared" si="128"/>
        <v>0</v>
      </c>
      <c r="G349" s="18">
        <f t="shared" si="129"/>
        <v>0</v>
      </c>
      <c r="H349" s="18"/>
      <c r="I349" s="21">
        <f t="shared" si="130"/>
        <v>0</v>
      </c>
      <c r="J349" s="85"/>
      <c r="K349" s="18"/>
    </row>
    <row r="350" spans="1:14" ht="26" x14ac:dyDescent="0.6">
      <c r="A350" s="18"/>
      <c r="B350" s="72"/>
      <c r="C350" s="18" t="s">
        <v>299</v>
      </c>
      <c r="D350" s="18">
        <v>0</v>
      </c>
      <c r="E350" s="18"/>
      <c r="F350" s="18">
        <v>180</v>
      </c>
      <c r="G350" s="18">
        <f>+F350*0.4</f>
        <v>72</v>
      </c>
      <c r="H350" s="18"/>
      <c r="I350" s="21">
        <f t="shared" si="130"/>
        <v>1051.3440000000001</v>
      </c>
      <c r="J350" s="85"/>
      <c r="K350" s="18"/>
    </row>
    <row r="351" spans="1:14" ht="26" x14ac:dyDescent="0.6">
      <c r="A351" s="18"/>
      <c r="B351" s="72"/>
      <c r="C351" s="18" t="s">
        <v>300</v>
      </c>
      <c r="D351" s="18">
        <v>0</v>
      </c>
      <c r="E351" s="18"/>
      <c r="F351" s="18">
        <v>152</v>
      </c>
      <c r="G351" s="18">
        <f>+F351*0.6</f>
        <v>91.2</v>
      </c>
      <c r="H351" s="18"/>
      <c r="I351" s="21">
        <f t="shared" si="130"/>
        <v>1331.7024000000001</v>
      </c>
      <c r="J351" s="85"/>
      <c r="K351" s="18"/>
    </row>
    <row r="352" spans="1:14" ht="26" x14ac:dyDescent="0.6">
      <c r="A352" s="18"/>
      <c r="B352" s="72"/>
      <c r="C352" s="18" t="s">
        <v>301</v>
      </c>
      <c r="D352" s="18">
        <v>15.55</v>
      </c>
      <c r="E352" s="18"/>
      <c r="F352" s="18">
        <f t="shared" si="128"/>
        <v>0</v>
      </c>
      <c r="G352" s="18">
        <f t="shared" si="129"/>
        <v>0</v>
      </c>
      <c r="H352" s="18"/>
      <c r="I352" s="21">
        <f t="shared" si="130"/>
        <v>0</v>
      </c>
      <c r="J352" s="85"/>
      <c r="K352" s="18"/>
      <c r="N352">
        <f>9+16+7+5+14+1</f>
        <v>52</v>
      </c>
    </row>
    <row r="353" spans="1:11" ht="26" x14ac:dyDescent="0.6">
      <c r="A353" s="18"/>
      <c r="B353" s="72"/>
      <c r="C353" s="18" t="s">
        <v>302</v>
      </c>
      <c r="D353" s="18">
        <v>100</v>
      </c>
      <c r="E353" s="18"/>
      <c r="F353" s="18">
        <f t="shared" si="128"/>
        <v>0</v>
      </c>
      <c r="G353" s="18">
        <f t="shared" si="129"/>
        <v>0</v>
      </c>
      <c r="H353" s="18"/>
      <c r="I353" s="21">
        <f t="shared" si="130"/>
        <v>0</v>
      </c>
      <c r="J353" s="85"/>
      <c r="K353" s="18"/>
    </row>
    <row r="354" spans="1:11" ht="26" x14ac:dyDescent="0.6">
      <c r="A354" s="18"/>
      <c r="B354" s="72"/>
      <c r="C354" s="18" t="s">
        <v>303</v>
      </c>
      <c r="D354" s="18">
        <v>20</v>
      </c>
      <c r="E354" s="18"/>
      <c r="F354" s="18">
        <f t="shared" si="128"/>
        <v>0</v>
      </c>
      <c r="G354" s="18">
        <f t="shared" si="129"/>
        <v>0</v>
      </c>
      <c r="H354" s="18"/>
      <c r="I354" s="21">
        <f t="shared" si="130"/>
        <v>0</v>
      </c>
      <c r="J354" s="85"/>
      <c r="K354" s="18"/>
    </row>
    <row r="355" spans="1:11" ht="26" x14ac:dyDescent="0.6">
      <c r="A355" s="18"/>
      <c r="B355" s="72"/>
      <c r="C355" s="18" t="s">
        <v>304</v>
      </c>
      <c r="D355" s="18">
        <v>31.1</v>
      </c>
      <c r="E355" s="18"/>
      <c r="F355" s="18">
        <f t="shared" si="128"/>
        <v>0</v>
      </c>
      <c r="G355" s="18">
        <f t="shared" si="129"/>
        <v>0</v>
      </c>
      <c r="H355" s="18"/>
      <c r="I355" s="21">
        <f t="shared" si="130"/>
        <v>0</v>
      </c>
      <c r="J355" s="85"/>
      <c r="K355" s="18"/>
    </row>
    <row r="356" spans="1:11" ht="26" x14ac:dyDescent="0.6">
      <c r="A356" s="18"/>
      <c r="B356" s="72"/>
      <c r="C356" s="18" t="s">
        <v>305</v>
      </c>
      <c r="D356" s="18">
        <v>59.25</v>
      </c>
      <c r="E356" s="18"/>
      <c r="F356" s="18">
        <f t="shared" si="128"/>
        <v>0</v>
      </c>
      <c r="G356" s="18">
        <f t="shared" si="129"/>
        <v>0</v>
      </c>
      <c r="H356" s="18"/>
      <c r="I356" s="21">
        <f t="shared" si="130"/>
        <v>0</v>
      </c>
      <c r="J356" s="85"/>
      <c r="K356" s="18"/>
    </row>
    <row r="357" spans="1:11" ht="26" x14ac:dyDescent="0.6">
      <c r="A357" s="18"/>
      <c r="B357" s="72"/>
      <c r="C357" s="18" t="s">
        <v>305</v>
      </c>
      <c r="D357" s="18">
        <v>30.03</v>
      </c>
      <c r="E357" s="18"/>
      <c r="F357" s="18">
        <f t="shared" si="128"/>
        <v>0</v>
      </c>
      <c r="G357" s="18">
        <f t="shared" si="129"/>
        <v>0</v>
      </c>
      <c r="H357" s="18"/>
      <c r="I357" s="21">
        <f t="shared" si="130"/>
        <v>0</v>
      </c>
      <c r="J357" s="85"/>
      <c r="K357" s="18"/>
    </row>
    <row r="358" spans="1:11" ht="26" x14ac:dyDescent="0.6">
      <c r="A358" s="18"/>
      <c r="B358" s="72"/>
      <c r="C358" s="18" t="s">
        <v>306</v>
      </c>
      <c r="D358" s="18">
        <v>62.2</v>
      </c>
      <c r="E358" s="18"/>
      <c r="F358" s="18">
        <f t="shared" si="128"/>
        <v>0</v>
      </c>
      <c r="G358" s="18">
        <f t="shared" si="129"/>
        <v>0</v>
      </c>
      <c r="H358" s="18"/>
      <c r="I358" s="21">
        <f t="shared" si="130"/>
        <v>0</v>
      </c>
      <c r="J358" s="85"/>
      <c r="K358" s="18"/>
    </row>
    <row r="359" spans="1:11" ht="26" x14ac:dyDescent="0.6">
      <c r="A359" s="18"/>
      <c r="B359" s="72"/>
      <c r="C359" s="18" t="s">
        <v>329</v>
      </c>
      <c r="D359" s="18">
        <v>31.1</v>
      </c>
      <c r="E359" s="18"/>
      <c r="F359" s="18">
        <f t="shared" si="128"/>
        <v>0</v>
      </c>
      <c r="G359" s="18">
        <f t="shared" si="129"/>
        <v>0</v>
      </c>
      <c r="H359" s="18"/>
      <c r="I359" s="21">
        <f t="shared" si="130"/>
        <v>0</v>
      </c>
      <c r="J359" s="85"/>
      <c r="K359" s="18"/>
    </row>
    <row r="360" spans="1:11" ht="26" x14ac:dyDescent="0.6">
      <c r="A360" s="18"/>
      <c r="B360" s="72"/>
      <c r="C360" s="18" t="s">
        <v>330</v>
      </c>
      <c r="D360" s="18">
        <v>31.1</v>
      </c>
      <c r="E360" s="18"/>
      <c r="F360" s="18">
        <f t="shared" si="128"/>
        <v>0</v>
      </c>
      <c r="G360" s="18">
        <f t="shared" si="129"/>
        <v>0</v>
      </c>
      <c r="H360" s="18"/>
      <c r="I360" s="21">
        <f t="shared" si="130"/>
        <v>0</v>
      </c>
      <c r="J360" s="85"/>
      <c r="K360" s="18"/>
    </row>
    <row r="361" spans="1:11" ht="26" x14ac:dyDescent="0.6">
      <c r="A361" s="18"/>
      <c r="B361" s="72"/>
      <c r="C361" s="18" t="s">
        <v>331</v>
      </c>
      <c r="D361" s="18">
        <v>31.1</v>
      </c>
      <c r="E361" s="18"/>
      <c r="F361" s="18">
        <f t="shared" si="128"/>
        <v>0</v>
      </c>
      <c r="G361" s="18">
        <f t="shared" si="129"/>
        <v>0</v>
      </c>
      <c r="H361" s="18"/>
      <c r="I361" s="21">
        <f t="shared" si="130"/>
        <v>0</v>
      </c>
      <c r="J361" s="85"/>
      <c r="K361" s="18"/>
    </row>
    <row r="362" spans="1:11" ht="26" x14ac:dyDescent="0.6">
      <c r="A362" s="18"/>
      <c r="B362" s="72"/>
      <c r="C362" s="18" t="s">
        <v>332</v>
      </c>
      <c r="D362" s="18">
        <v>200.61</v>
      </c>
      <c r="E362" s="18"/>
      <c r="F362" s="18">
        <f>+D362</f>
        <v>200.61</v>
      </c>
      <c r="G362" s="18">
        <f>+F362*0.9</f>
        <v>180.54900000000001</v>
      </c>
      <c r="H362" s="18"/>
      <c r="I362" s="21">
        <f t="shared" si="130"/>
        <v>2636.3764980000001</v>
      </c>
      <c r="J362" s="85"/>
      <c r="K362" s="18"/>
    </row>
    <row r="363" spans="1:11" ht="26" x14ac:dyDescent="0.6">
      <c r="A363" s="18"/>
      <c r="B363" s="72"/>
      <c r="D363" s="18">
        <v>0</v>
      </c>
      <c r="E363" s="18"/>
      <c r="F363" s="18">
        <f t="shared" si="126"/>
        <v>0</v>
      </c>
      <c r="G363" s="18">
        <f t="shared" si="116"/>
        <v>0</v>
      </c>
      <c r="H363" s="18"/>
      <c r="I363" s="21">
        <f t="shared" si="127"/>
        <v>0</v>
      </c>
      <c r="J363" s="18"/>
      <c r="K363" s="18"/>
    </row>
    <row r="364" spans="1:11" ht="26" x14ac:dyDescent="0.6">
      <c r="A364" s="18"/>
      <c r="B364" s="18"/>
      <c r="C364" s="18"/>
      <c r="D364" s="18">
        <v>0</v>
      </c>
      <c r="E364" s="18"/>
      <c r="F364" s="18">
        <f t="shared" si="126"/>
        <v>0</v>
      </c>
      <c r="G364" s="18">
        <f t="shared" si="116"/>
        <v>0</v>
      </c>
      <c r="H364" s="18"/>
      <c r="I364" s="21">
        <f t="shared" si="127"/>
        <v>0</v>
      </c>
      <c r="J364" s="18"/>
      <c r="K364" s="18"/>
    </row>
    <row r="365" spans="1:11" ht="26" x14ac:dyDescent="0.6">
      <c r="A365" s="18"/>
      <c r="B365" s="18"/>
      <c r="C365" s="44" t="s">
        <v>3</v>
      </c>
      <c r="D365" s="44"/>
      <c r="E365" s="44"/>
      <c r="F365" s="94">
        <f>SUM(F259:F364)</f>
        <v>2493.81</v>
      </c>
      <c r="G365" s="94">
        <f>SUM(G259:G364)</f>
        <v>2295.5878000000002</v>
      </c>
      <c r="H365" s="93">
        <f>SUM(H259:H364)</f>
        <v>320</v>
      </c>
      <c r="I365" s="93">
        <f>SUM(I259:I364)</f>
        <v>33520.173055599997</v>
      </c>
      <c r="J365" s="18"/>
      <c r="K365" s="18"/>
    </row>
    <row r="366" spans="1:11" ht="26" x14ac:dyDescent="0.6">
      <c r="A366" s="18"/>
      <c r="B366" s="18"/>
      <c r="C366" s="18"/>
      <c r="D366" s="18"/>
      <c r="E366" s="18"/>
      <c r="F366" s="17"/>
      <c r="G366" s="17"/>
      <c r="H366" s="17"/>
      <c r="I366" s="48"/>
      <c r="J366" s="18"/>
      <c r="K366" s="18"/>
    </row>
    <row r="367" spans="1:11" x14ac:dyDescent="0.35">
      <c r="F367" s="1"/>
      <c r="G367" s="1"/>
      <c r="H367" s="1"/>
      <c r="I367" s="10"/>
    </row>
    <row r="368" spans="1:11" x14ac:dyDescent="0.35">
      <c r="F368" s="1"/>
      <c r="G368" s="1"/>
      <c r="H368" s="1"/>
      <c r="I368" s="10"/>
    </row>
    <row r="369" spans="2:11" ht="26" x14ac:dyDescent="0.6">
      <c r="B369" s="109" t="s">
        <v>74</v>
      </c>
      <c r="C369" s="109"/>
      <c r="D369" s="109"/>
      <c r="E369" s="109"/>
      <c r="F369" s="1"/>
      <c r="G369" s="1"/>
      <c r="H369" s="1"/>
      <c r="I369" s="10"/>
    </row>
    <row r="370" spans="2:11" x14ac:dyDescent="0.35">
      <c r="F370" s="1"/>
      <c r="G370" s="1"/>
      <c r="H370" s="1"/>
      <c r="I370" s="10"/>
    </row>
    <row r="371" spans="2:11" ht="26" x14ac:dyDescent="0.6">
      <c r="B371" s="49" t="s">
        <v>76</v>
      </c>
      <c r="C371" s="18"/>
      <c r="D371" s="18"/>
      <c r="E371" s="18"/>
      <c r="F371" s="17"/>
      <c r="G371" s="17"/>
      <c r="H371" s="17"/>
      <c r="I371" s="48"/>
      <c r="J371" s="18"/>
      <c r="K371" s="18"/>
    </row>
    <row r="372" spans="2:11" ht="26" x14ac:dyDescent="0.6">
      <c r="B372" s="72"/>
      <c r="C372" s="18" t="s">
        <v>89</v>
      </c>
      <c r="D372" s="18">
        <v>100</v>
      </c>
      <c r="E372" s="18">
        <v>1</v>
      </c>
      <c r="F372" s="18">
        <f t="shared" ref="F372" si="131">+E372*D372</f>
        <v>100</v>
      </c>
      <c r="G372" s="18">
        <f t="shared" ref="G372" si="132">+F372*0.99999</f>
        <v>99.999000000000009</v>
      </c>
      <c r="H372" s="18"/>
      <c r="I372" s="18">
        <f>+G372*$K$6</f>
        <v>42390.076095000004</v>
      </c>
      <c r="J372" s="86"/>
      <c r="K372" s="18"/>
    </row>
    <row r="373" spans="2:11" ht="26" x14ac:dyDescent="0.6">
      <c r="B373" s="18"/>
      <c r="C373" s="50" t="s">
        <v>78</v>
      </c>
      <c r="D373" s="51"/>
      <c r="E373" s="51"/>
      <c r="F373" s="51"/>
      <c r="G373" s="95">
        <f>SUM(G372:G372)</f>
        <v>99.999000000000009</v>
      </c>
      <c r="H373" s="95"/>
      <c r="I373" s="96">
        <f>SUM(I372:I372)</f>
        <v>42390.076095000004</v>
      </c>
      <c r="J373" s="18"/>
      <c r="K373" s="18"/>
    </row>
    <row r="374" spans="2:11" ht="26" x14ac:dyDescent="0.6">
      <c r="B374" s="18"/>
      <c r="C374" s="18"/>
      <c r="D374" s="18"/>
      <c r="E374" s="18"/>
      <c r="F374" s="18"/>
      <c r="G374" s="18"/>
      <c r="H374" s="18"/>
      <c r="I374" s="21"/>
      <c r="J374" s="18"/>
      <c r="K374" s="18"/>
    </row>
    <row r="375" spans="2:11" ht="26" x14ac:dyDescent="0.6">
      <c r="B375" s="52" t="s">
        <v>75</v>
      </c>
      <c r="C375" s="18"/>
      <c r="D375" s="18"/>
      <c r="E375" s="18"/>
      <c r="F375" s="18"/>
      <c r="G375" s="18"/>
      <c r="H375" s="18"/>
      <c r="I375" s="21"/>
      <c r="J375" s="18"/>
      <c r="K375" s="18"/>
    </row>
    <row r="376" spans="2:11" ht="26" x14ac:dyDescent="0.6">
      <c r="B376" s="72"/>
      <c r="C376" s="18" t="s">
        <v>77</v>
      </c>
      <c r="D376" s="18">
        <v>31.1</v>
      </c>
      <c r="E376" s="18">
        <v>1</v>
      </c>
      <c r="F376" s="18">
        <f>+E376*D376</f>
        <v>31.1</v>
      </c>
      <c r="G376" s="18">
        <f>+F376*0.9999</f>
        <v>31.096890000000002</v>
      </c>
      <c r="H376" s="18"/>
      <c r="I376" s="21">
        <f>+G376*$K$7</f>
        <v>10439.132682330001</v>
      </c>
      <c r="J376" s="85"/>
      <c r="K376" s="18"/>
    </row>
    <row r="377" spans="2:11" ht="26" x14ac:dyDescent="0.6">
      <c r="B377" s="18"/>
      <c r="C377" s="18"/>
      <c r="D377" s="18"/>
      <c r="E377" s="18"/>
      <c r="F377" s="18"/>
      <c r="G377" s="18"/>
      <c r="H377" s="18"/>
      <c r="I377" s="21"/>
      <c r="J377" s="85"/>
      <c r="K377" s="18"/>
    </row>
    <row r="378" spans="2:11" ht="26" x14ac:dyDescent="0.6">
      <c r="B378" s="18"/>
      <c r="C378" s="50" t="s">
        <v>79</v>
      </c>
      <c r="D378" s="51"/>
      <c r="E378" s="51"/>
      <c r="F378" s="51"/>
      <c r="G378" s="96">
        <f t="shared" ref="G378:H378" si="133">SUM(G376:G377)</f>
        <v>31.096890000000002</v>
      </c>
      <c r="H378" s="96">
        <f t="shared" si="133"/>
        <v>0</v>
      </c>
      <c r="I378" s="96">
        <f>SUM(I376:I377)</f>
        <v>10439.132682330001</v>
      </c>
      <c r="J378" s="18"/>
      <c r="K378" s="18"/>
    </row>
    <row r="379" spans="2:11" x14ac:dyDescent="0.35">
      <c r="F379" s="1"/>
      <c r="G379" s="1"/>
      <c r="H379" s="1"/>
      <c r="I379" s="10"/>
    </row>
    <row r="380" spans="2:11" x14ac:dyDescent="0.35">
      <c r="F380" s="1"/>
      <c r="G380" s="1"/>
      <c r="H380" s="1"/>
      <c r="I380" s="10"/>
    </row>
    <row r="381" spans="2:11" x14ac:dyDescent="0.35">
      <c r="F381" s="1"/>
      <c r="G381" s="1"/>
      <c r="H381" s="1"/>
      <c r="I381" s="10"/>
    </row>
    <row r="382" spans="2:11" x14ac:dyDescent="0.35">
      <c r="F382" s="1"/>
      <c r="G382" s="1"/>
      <c r="H382" s="1"/>
      <c r="I382" s="10"/>
    </row>
    <row r="383" spans="2:11" x14ac:dyDescent="0.35">
      <c r="F383" s="1"/>
      <c r="G383" s="1"/>
      <c r="H383" s="1"/>
      <c r="I383" s="10"/>
    </row>
    <row r="384" spans="2:11" x14ac:dyDescent="0.35">
      <c r="F384" s="1"/>
      <c r="G384" s="1"/>
      <c r="H384" s="1"/>
      <c r="I384" s="10"/>
    </row>
    <row r="385" spans="2:9" ht="34.5" customHeight="1" x14ac:dyDescent="0.6">
      <c r="B385" s="18" t="s">
        <v>339</v>
      </c>
      <c r="C385" s="21">
        <f>+G84+G166+G252</f>
        <v>966.99240100000043</v>
      </c>
      <c r="F385" s="1"/>
      <c r="G385" s="1"/>
      <c r="H385" s="1"/>
      <c r="I385" s="10"/>
    </row>
    <row r="386" spans="2:9" ht="33" customHeight="1" x14ac:dyDescent="0.6">
      <c r="B386" s="18" t="s">
        <v>338</v>
      </c>
      <c r="C386" s="21">
        <f>+G365</f>
        <v>2295.5878000000002</v>
      </c>
      <c r="F386" s="1"/>
      <c r="G386" s="1"/>
      <c r="H386" s="1"/>
      <c r="I386" s="10"/>
    </row>
    <row r="387" spans="2:9" x14ac:dyDescent="0.35">
      <c r="F387" s="1"/>
      <c r="G387" s="1"/>
      <c r="H387" s="1"/>
      <c r="I387" s="10"/>
    </row>
    <row r="388" spans="2:9" x14ac:dyDescent="0.35">
      <c r="F388" s="1"/>
      <c r="G388" s="1"/>
      <c r="H388" s="1"/>
      <c r="I388" s="10"/>
    </row>
    <row r="389" spans="2:9" x14ac:dyDescent="0.35">
      <c r="F389" s="1"/>
      <c r="G389" s="1"/>
      <c r="H389" s="1"/>
      <c r="I389" s="10"/>
    </row>
    <row r="390" spans="2:9" x14ac:dyDescent="0.35">
      <c r="F390" s="1"/>
      <c r="G390" s="1"/>
      <c r="H390" s="1"/>
      <c r="I390" s="10"/>
    </row>
    <row r="393" spans="2:9" x14ac:dyDescent="0.35">
      <c r="C393" s="105" t="s">
        <v>26</v>
      </c>
      <c r="D393" s="105"/>
      <c r="E393" s="105"/>
      <c r="F393" s="105"/>
      <c r="H393" s="106">
        <f>+I378+I373+I365+I252+I166+I84</f>
        <v>939314.03890700999</v>
      </c>
      <c r="I393" s="106"/>
    </row>
    <row r="394" spans="2:9" x14ac:dyDescent="0.35">
      <c r="C394" s="105"/>
      <c r="D394" s="105"/>
      <c r="E394" s="105"/>
      <c r="F394" s="105"/>
      <c r="H394" s="106"/>
      <c r="I394" s="106"/>
    </row>
    <row r="420" spans="9:9" ht="26" x14ac:dyDescent="0.6">
      <c r="I420" s="21"/>
    </row>
  </sheetData>
  <mergeCells count="10">
    <mergeCell ref="C4:F7"/>
    <mergeCell ref="C393:F394"/>
    <mergeCell ref="H393:I394"/>
    <mergeCell ref="A10:B10"/>
    <mergeCell ref="A85:B85"/>
    <mergeCell ref="A169:B169"/>
    <mergeCell ref="C265:D265"/>
    <mergeCell ref="C298:D298"/>
    <mergeCell ref="B256:E256"/>
    <mergeCell ref="B369:E369"/>
  </mergeCells>
  <phoneticPr fontId="25" type="noConversion"/>
  <pageMargins left="0.7" right="0.7" top="0.75" bottom="0.75" header="0.3" footer="0.3"/>
  <pageSetup paperSize="9" scale="2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Recai Demir</dc:creator>
  <cp:lastModifiedBy>Recai Demir</cp:lastModifiedBy>
  <cp:lastPrinted>2025-01-28T08:23:57Z</cp:lastPrinted>
  <dcterms:created xsi:type="dcterms:W3CDTF">2017-02-19T12:35:27Z</dcterms:created>
  <dcterms:modified xsi:type="dcterms:W3CDTF">2026-01-19T19:56:09Z</dcterms:modified>
</cp:coreProperties>
</file>